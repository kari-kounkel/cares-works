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18e515166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osed entries" sheetId="1" r:id="Rc0ea3aa9820e4ae3"/>
    <x:sheet xmlns:r="http://schemas.openxmlformats.org/officeDocument/2006/relationships" name="Loan review" sheetId="2" r:id="Rc82b91779893400e"/>
    <x:sheet xmlns:r="http://schemas.openxmlformats.org/officeDocument/2006/relationships" name="Payment detail" sheetId="3" r:id="R719c75363ff8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mm/dd/yyyy"/>
    <x:numFmt numFmtId="202" formatCode="#,##0.00;(#,##0.00);&quot;-&quot;"/>
    <x:numFmt numFmtId="203" formatCode="#,##0.00;(#,##0.00);&quot;0.00&quot;"/>
  </x:numFmts>
  <x:fonts count="8">
    <x:font>
      <x:sz val="11"/>
      <x:name val="Carlito"/>
    </x:font>
    <x:font>
      <x:sz val="10"/>
      <x:color rgb="FF172B4D"/>
      <x:name val="Arial"/>
    </x:font>
    <x:font>
      <x:b/>
      <x:sz val="16"/>
      <x:color rgb="FF0080FF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0080FF"/>
      <x:name val="Arial"/>
    </x:font>
    <x:font>
      <x:sz val="9"/>
      <x:color rgb="FF172B4D"/>
      <x:name val="Arial"/>
    </x:font>
    <x:font>
      <x:sz val="10"/>
      <x:color rgb="FF112D4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12D4E"/>
      </x:patternFill>
    </x:fill>
    <x:fill>
      <x:patternFill patternType="solid">
        <x:fgColor rgb="FFF0F6FF"/>
      </x:patternFill>
    </x:fill>
    <x:fill>
      <x:patternFill patternType="solid">
        <x:fgColor rgb="FFFFF1CA"/>
      </x:patternFill>
    </x:fill>
  </x:fills>
  <x:borders count="2">
    <x:border/>
    <x:border>
      <x:bottom style="thin">
        <x:color rgb="FF0080F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03826f63c4f69" /><Relationship Type="http://schemas.openxmlformats.org/officeDocument/2006/relationships/theme" Target="/xl/theme/theme1.xml" Id="R2c81a78172c54f7c" /><Relationship Type="http://schemas.openxmlformats.org/officeDocument/2006/relationships/sharedStrings" Target="/xl/sharedStrings.xml" Id="R24f376098da34272" /><Relationship Type="http://schemas.openxmlformats.org/officeDocument/2006/relationships/worksheet" Target="/xl/worksheets/sheet1.xml" Id="Rc0ea3aa9820e4ae3" /><Relationship Type="http://schemas.openxmlformats.org/officeDocument/2006/relationships/worksheet" Target="/xl/worksheets/sheet2.xml" Id="Rc82b91779893400e" /><Relationship Type="http://schemas.openxmlformats.org/officeDocument/2006/relationships/worksheet" Target="/xl/worksheets/sheet3.xml" Id="R719c75363ff844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80FF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48" hidden="0" customWidth="1"/>
    <x:col min="4" max="4" width="17" hidden="0" customWidth="1"/>
    <x:col min="5" max="5" width="17" hidden="0" customWidth="1"/>
    <x:col min="6" max="6" width="28" hidden="0" customWidth="1"/>
    <x:col min="7" max="7" width="53" hidden="0" customWidth="1"/>
    <x:col min="8" max="8" width="20" hidden="0" customWidth="1"/>
    <x:col min="9" max="9" width="4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IAZ | Proposed entries and equity findings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DRAFT — proposed A/P entries are not approved or posted. The existing printing correction is shown as already posted.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22" customHeight="1">
      <x:c r="A5" s="4" t="str">
        <x:v>Proposal: year-end A/P-to-loan presentation only, with next-day reversals. Original bills, bank payments and applications remain.</x:v>
      </x:c>
      <x:c r="B5" s="2"/>
      <x:c r="C5" s="2"/>
      <x:c r="D5" s="2"/>
      <x:c r="E5" s="2"/>
      <x:c r="F5" s="2"/>
      <x:c r="G5" s="2"/>
      <x:c r="H5" s="2"/>
      <x:c r="I5" s="2"/>
    </x:row>
    <x:row r="6" ht="22" customHeight="1">
      <x:c r="A6" s="4" t="str">
        <x:v>Do not also delete bills, recode payments, or permanently move debt using these same amounts. Review the complete set before posting.</x:v>
      </x:c>
      <x:c r="B6" s="2"/>
      <x:c r="C6" s="2"/>
      <x:c r="D6" s="2"/>
      <x:c r="E6" s="2"/>
      <x:c r="F6" s="2"/>
      <x:c r="G6" s="2"/>
      <x:c r="H6" s="2"/>
      <x:c r="I6" s="2"/>
    </x:row>
    <x:row r="7" ht="22" customHeight="1">
      <x:c r="A7" s="4" t="str">
        <x:v>This reclassifies recorded financing amounts; it is not a lender true-up. Canon late fees remain in A/P.</x:v>
      </x:c>
      <x:c r="B7" s="2"/>
      <x:c r="C7" s="2"/>
      <x:c r="D7" s="2"/>
      <x:c r="E7" s="2"/>
      <x:c r="F7" s="2"/>
      <x:c r="G7" s="2"/>
      <x:c r="H7" s="2"/>
      <x:c r="I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34" customHeight="1">
      <x:c r="A9" s="9" t="str">
        <x:v>Date</x:v>
      </x:c>
      <x:c r="B9" s="9" t="str">
        <x:v>Journal no.</x:v>
      </x:c>
      <x:c r="C9" s="9" t="str">
        <x:v>Account number / name</x:v>
      </x:c>
      <x:c r="D9" s="9" t="str">
        <x:v>Debit</x:v>
      </x:c>
      <x:c r="E9" s="9" t="str">
        <x:v>Credit</x:v>
      </x:c>
      <x:c r="F9" s="9" t="str">
        <x:v>Vendor on A/P line</x:v>
      </x:c>
      <x:c r="G9" s="9" t="str">
        <x:v>Description</x:v>
      </x:c>
      <x:c r="H9" s="9" t="str">
        <x:v>Status</x:v>
      </x:c>
      <x:c r="I9" s="9" t="str">
        <x:v>Support</x:v>
      </x:c>
    </x:row>
    <x:row r="10" ht="58" customHeight="1">
      <x:c r="A10" s="17" t="n">
        <x:v>45930</x:v>
      </x:c>
      <x:c r="B10" s="10" t="str">
        <x:v>KK AP Canon 09302025</x:v>
      </x:c>
      <x:c r="C10" s="10" t="str">
        <x:v>2000 Accounts Payable</x:v>
      </x:c>
      <x:c r="D10" s="20" t="n">
        <x:f>'Loan review'!E17</x:f>
        <x:v>10750</x:v>
      </x:c>
      <x:c r="E10" s="20"/>
      <x:c r="F10" s="30" t="str">
        <x:v>Canon Financial Services 868683</x:v>
      </x:c>
      <x:c r="G10" s="30" t="str">
        <x:v>Reclass recorded financing installment from A/P to loan at year-end.</x:v>
      </x:c>
      <x:c r="H10" s="30" t="str">
        <x:v>REVIEW — not posted</x:v>
      </x:c>
      <x:c r="I10" s="30" t="str">
        <x:v>Bills 36168 / 41258022 and 36167 / 41500465; 5,375 financing each.</x:v>
      </x:c>
    </x:row>
    <x:row r="11" ht="58" customHeight="1">
      <x:c r="A11" s="18" t="n">
        <x:v>45930</x:v>
      </x:c>
      <x:c r="B11" s="2" t="str">
        <x:v>KK AP Canon 09302025</x:v>
      </x:c>
      <x:c r="C11" s="2" t="str">
        <x:v>2970.14 Canon 868683 Flatbed Cutter</x:v>
      </x:c>
      <x:c r="D11" s="23"/>
      <x:c r="E11" s="23" t="n">
        <x:f>D10</x:f>
        <x:v>10750</x:v>
      </x:c>
      <x:c r="F11" s="29" t="str"/>
      <x:c r="G11" s="29" t="str">
        <x:v>Reclass recorded financing installment from A/P to loan at year-end.</x:v>
      </x:c>
      <x:c r="H11" s="29" t="str">
        <x:v>REVIEW — not posted</x:v>
      </x:c>
      <x:c r="I11" s="29" t="str">
        <x:v>Bills 36168 / 41258022 and 36167 / 41500465; 5,375 financing each.</x:v>
      </x:c>
    </x:row>
    <x:row r="12" ht="58" customHeight="1">
      <x:c r="A12" s="17" t="n">
        <x:v>45931</x:v>
      </x:c>
      <x:c r="B12" s="10" t="str">
        <x:v>KK AP Canon 10012025R</x:v>
      </x:c>
      <x:c r="C12" s="10" t="str">
        <x:v>2000 Accounts Payable</x:v>
      </x:c>
      <x:c r="D12" s="20"/>
      <x:c r="E12" s="20" t="n">
        <x:f>D10</x:f>
        <x:v>10750</x:v>
      </x:c>
      <x:c r="F12" s="30" t="str">
        <x:v>Canon Financial Services 868683</x:v>
      </x:c>
      <x:c r="G12" s="30" t="str">
        <x:v>Reverse cutoff reclass; keep later bill payments applying normally.</x:v>
      </x:c>
      <x:c r="H12" s="30" t="str">
        <x:v>REVIEW — not posted</x:v>
      </x:c>
      <x:c r="I12" s="30" t="str">
        <x:v>Bills 36168 / 41258022 and 36167 / 41500465; 5,375 financing each.</x:v>
      </x:c>
    </x:row>
    <x:row r="13" ht="58" customHeight="1">
      <x:c r="A13" s="18" t="n">
        <x:v>45931</x:v>
      </x:c>
      <x:c r="B13" s="2" t="str">
        <x:v>KK AP Canon 10012025R</x:v>
      </x:c>
      <x:c r="C13" s="2" t="str">
        <x:v>2970.14 Canon 868683 Flatbed Cutter</x:v>
      </x:c>
      <x:c r="D13" s="23" t="n">
        <x:f>E12</x:f>
        <x:v>10750</x:v>
      </x:c>
      <x:c r="E13" s="23"/>
      <x:c r="F13" s="29" t="str"/>
      <x:c r="G13" s="29" t="str">
        <x:v>Reverse cutoff reclass; keep later bill payments applying normally.</x:v>
      </x:c>
      <x:c r="H13" s="29" t="str">
        <x:v>REVIEW — not posted</x:v>
      </x:c>
      <x:c r="I13" s="29" t="str">
        <x:v>Bills 36168 / 41258022 and 36167 / 41500465; 5,375 financing each.</x:v>
      </x:c>
    </x:row>
    <x:row r="14" ht="58" customHeight="1">
      <x:c r="A14" s="17" t="n">
        <x:v>45930</x:v>
      </x:c>
      <x:c r="B14" s="10" t="str">
        <x:v>KK AP Highland 09302025</x:v>
      </x:c>
      <x:c r="C14" s="10" t="str">
        <x:v>2000 Accounts Payable</x:v>
      </x:c>
      <x:c r="D14" s="20" t="n">
        <x:f>'Loan review'!E19</x:f>
        <x:v>9075</x:v>
      </x:c>
      <x:c r="E14" s="20"/>
      <x:c r="F14" s="30" t="str">
        <x:v>Highland Capital Corporation #20223202</x:v>
      </x:c>
      <x:c r="G14" s="30" t="str">
        <x:v>Reclass recorded financing installment from A/P to loan at year-end.</x:v>
      </x:c>
      <x:c r="H14" s="30" t="str">
        <x:v>REVIEW — not posted</x:v>
      </x:c>
      <x:c r="I14" s="30" t="str">
        <x:v>Bills 31938 + 32891 = 12,100 less payment 32327 credit 3,025.</x:v>
      </x:c>
    </x:row>
    <x:row r="15" ht="58" customHeight="1">
      <x:c r="A15" s="18" t="n">
        <x:v>45930</x:v>
      </x:c>
      <x:c r="B15" s="2" t="str">
        <x:v>KK AP Highland 09302025</x:v>
      </x:c>
      <x:c r="C15" s="2" t="str">
        <x:v>2970.15 Highland Capital Iridesse</x:v>
      </x:c>
      <x:c r="D15" s="23"/>
      <x:c r="E15" s="23" t="n">
        <x:f>D14</x:f>
        <x:v>9075</x:v>
      </x:c>
      <x:c r="F15" s="29" t="str"/>
      <x:c r="G15" s="29" t="str">
        <x:v>Reclass recorded financing installment from A/P to loan at year-end.</x:v>
      </x:c>
      <x:c r="H15" s="29" t="str">
        <x:v>REVIEW — not posted</x:v>
      </x:c>
      <x:c r="I15" s="29" t="str">
        <x:v>Bills 31938 + 32891 = 12,100 less payment 32327 credit 3,025.</x:v>
      </x:c>
    </x:row>
    <x:row r="16" ht="58" customHeight="1">
      <x:c r="A16" s="17" t="n">
        <x:v>45931</x:v>
      </x:c>
      <x:c r="B16" s="10" t="str">
        <x:v>KK AP Highland 10012025R</x:v>
      </x:c>
      <x:c r="C16" s="10" t="str">
        <x:v>2000 Accounts Payable</x:v>
      </x:c>
      <x:c r="D16" s="20"/>
      <x:c r="E16" s="20" t="n">
        <x:f>D14</x:f>
        <x:v>9075</x:v>
      </x:c>
      <x:c r="F16" s="30" t="str">
        <x:v>Highland Capital Corporation #20223202</x:v>
      </x:c>
      <x:c r="G16" s="30" t="str">
        <x:v>Reverse cutoff reclass; keep later bill payments applying normally.</x:v>
      </x:c>
      <x:c r="H16" s="30" t="str">
        <x:v>REVIEW — not posted</x:v>
      </x:c>
      <x:c r="I16" s="30" t="str">
        <x:v>Bills 31938 + 32891 = 12,100 less payment 32327 credit 3,025.</x:v>
      </x:c>
    </x:row>
    <x:row r="17" ht="58" customHeight="1">
      <x:c r="A17" s="18" t="n">
        <x:v>45931</x:v>
      </x:c>
      <x:c r="B17" s="2" t="str">
        <x:v>KK AP Highland 10012025R</x:v>
      </x:c>
      <x:c r="C17" s="2" t="str">
        <x:v>2970.15 Highland Capital Iridesse</x:v>
      </x:c>
      <x:c r="D17" s="23" t="n">
        <x:f>E16</x:f>
        <x:v>9075</x:v>
      </x:c>
      <x:c r="E17" s="23"/>
      <x:c r="F17" s="29" t="str"/>
      <x:c r="G17" s="29" t="str">
        <x:v>Reverse cutoff reclass; keep later bill payments applying normally.</x:v>
      </x:c>
      <x:c r="H17" s="29" t="str">
        <x:v>REVIEW — not posted</x:v>
      </x:c>
      <x:c r="I17" s="29" t="str">
        <x:v>Bills 31938 + 32891 = 12,100 less payment 32327 credit 3,025.</x:v>
      </x:c>
    </x:row>
    <x:row r="18" ht="58" customHeight="1">
      <x:c r="A18" s="17" t="n">
        <x:v>45930</x:v>
      </x:c>
      <x:c r="B18" s="10" t="str">
        <x:v>KK AP KM1 09302025</x:v>
      </x:c>
      <x:c r="C18" s="10" t="str">
        <x:v>2000 Accounts Payable</x:v>
      </x:c>
      <x:c r="D18" s="20" t="n">
        <x:f>'Loan review'!E21</x:f>
        <x:v>24019.8</x:v>
      </x:c>
      <x:c r="E18" s="20"/>
      <x:c r="F18" s="30" t="str">
        <x:v>Konica Minolta</x:v>
      </x:c>
      <x:c r="G18" s="30" t="str">
        <x:v>Reclass recorded financing installment from A/P to loan at year-end.</x:v>
      </x:c>
      <x:c r="H18" s="30" t="str">
        <x:v>REVIEW — not posted</x:v>
      </x:c>
      <x:c r="I18" s="30" t="str">
        <x:v>Bills 34920 / 504273758 and 34750 / 504273759; 12,009.90 each.</x:v>
      </x:c>
    </x:row>
    <x:row r="19" ht="58" customHeight="1">
      <x:c r="A19" s="18" t="n">
        <x:v>45930</x:v>
      </x:c>
      <x:c r="B19" s="2" t="str">
        <x:v>KK AP KM1 09302025</x:v>
      </x:c>
      <x:c r="C19" s="2" t="str">
        <x:v>2970.16 Konica Minolta KM-1</x:v>
      </x:c>
      <x:c r="D19" s="23"/>
      <x:c r="E19" s="23" t="n">
        <x:f>D18</x:f>
        <x:v>24019.8</x:v>
      </x:c>
      <x:c r="F19" s="29" t="str"/>
      <x:c r="G19" s="29" t="str">
        <x:v>Reclass recorded financing installment from A/P to loan at year-end.</x:v>
      </x:c>
      <x:c r="H19" s="29" t="str">
        <x:v>REVIEW — not posted</x:v>
      </x:c>
      <x:c r="I19" s="29" t="str">
        <x:v>Bills 34920 / 504273758 and 34750 / 504273759; 12,009.90 each.</x:v>
      </x:c>
    </x:row>
    <x:row r="20" ht="58" customHeight="1">
      <x:c r="A20" s="17" t="n">
        <x:v>45931</x:v>
      </x:c>
      <x:c r="B20" s="10" t="str">
        <x:v>KK AP KM1 10012025R</x:v>
      </x:c>
      <x:c r="C20" s="10" t="str">
        <x:v>2000 Accounts Payable</x:v>
      </x:c>
      <x:c r="D20" s="20"/>
      <x:c r="E20" s="20" t="n">
        <x:f>D18</x:f>
        <x:v>24019.8</x:v>
      </x:c>
      <x:c r="F20" s="30" t="str">
        <x:v>Konica Minolta</x:v>
      </x:c>
      <x:c r="G20" s="30" t="str">
        <x:v>Reverse cutoff reclass; keep later bill payments applying normally.</x:v>
      </x:c>
      <x:c r="H20" s="30" t="str">
        <x:v>REVIEW — not posted</x:v>
      </x:c>
      <x:c r="I20" s="30" t="str">
        <x:v>Bills 34920 / 504273758 and 34750 / 504273759; 12,009.90 each.</x:v>
      </x:c>
    </x:row>
    <x:row r="21" ht="58" customHeight="1">
      <x:c r="A21" s="18" t="n">
        <x:v>45931</x:v>
      </x:c>
      <x:c r="B21" s="2" t="str">
        <x:v>KK AP KM1 10012025R</x:v>
      </x:c>
      <x:c r="C21" s="2" t="str">
        <x:v>2970.16 Konica Minolta KM-1</x:v>
      </x:c>
      <x:c r="D21" s="23" t="n">
        <x:f>E20</x:f>
        <x:v>24019.8</x:v>
      </x:c>
      <x:c r="E21" s="23"/>
      <x:c r="F21" s="29" t="str"/>
      <x:c r="G21" s="29" t="str">
        <x:v>Reverse cutoff reclass; keep later bill payments applying normally.</x:v>
      </x:c>
      <x:c r="H21" s="29" t="str">
        <x:v>REVIEW — not posted</x:v>
      </x:c>
      <x:c r="I21" s="29" t="str">
        <x:v>Bills 34920 / 504273758 and 34750 / 504273759; 12,009.90 each.</x:v>
      </x:c>
    </x:row>
    <x:row r="22" ht="58" customHeight="1">
      <x:c r="A22" s="17" t="n">
        <x:v>46022</x:v>
      </x:c>
      <x:c r="B22" s="10" t="str">
        <x:v>KK AP AIS 12312025</x:v>
      </x:c>
      <x:c r="C22" s="10" t="str">
        <x:v>2000 Accounts Payable</x:v>
      </x:c>
      <x:c r="D22" s="20" t="n">
        <x:f>'Loan review'!E16</x:f>
        <x:v>47900</x:v>
      </x:c>
      <x:c r="E22" s="20"/>
      <x:c r="F22" s="30" t="str">
        <x:v>Peac Solutions</x:v>
      </x:c>
      <x:c r="G22" s="30" t="str">
        <x:v>Reclass recorded financing installment from A/P to loan at year-end.</x:v>
      </x:c>
      <x:c r="H22" s="30" t="str">
        <x:v>REVIEW — not posted</x:v>
      </x:c>
      <x:c r="I22" s="30" t="str">
        <x:v>Bill 41133546 dated 10/31/2025; GL rows 6579 + 11273.</x:v>
      </x:c>
    </x:row>
    <x:row r="23" ht="58" customHeight="1">
      <x:c r="A23" s="18" t="n">
        <x:v>46022</x:v>
      </x:c>
      <x:c r="B23" s="2" t="str">
        <x:v>KK AP AIS 12312025</x:v>
      </x:c>
      <x:c r="C23" s="2" t="str">
        <x:v>2970.13 AIS Retainer</x:v>
      </x:c>
      <x:c r="D23" s="23"/>
      <x:c r="E23" s="23" t="n">
        <x:f>D22</x:f>
        <x:v>47900</x:v>
      </x:c>
      <x:c r="F23" s="29" t="str"/>
      <x:c r="G23" s="29" t="str">
        <x:v>Reclass recorded financing installment from A/P to loan at year-end.</x:v>
      </x:c>
      <x:c r="H23" s="29" t="str">
        <x:v>REVIEW — not posted</x:v>
      </x:c>
      <x:c r="I23" s="29" t="str">
        <x:v>Bill 41133546 dated 10/31/2025; GL rows 6579 + 11273.</x:v>
      </x:c>
    </x:row>
    <x:row r="24" ht="58" customHeight="1">
      <x:c r="A24" s="17" t="n">
        <x:v>46023</x:v>
      </x:c>
      <x:c r="B24" s="10" t="str">
        <x:v>KK AP AIS 01012026R</x:v>
      </x:c>
      <x:c r="C24" s="10" t="str">
        <x:v>2000 Accounts Payable</x:v>
      </x:c>
      <x:c r="D24" s="20"/>
      <x:c r="E24" s="20" t="n">
        <x:f>D22</x:f>
        <x:v>47900</x:v>
      </x:c>
      <x:c r="F24" s="30" t="str">
        <x:v>Peac Solutions</x:v>
      </x:c>
      <x:c r="G24" s="30" t="str">
        <x:v>Reverse cutoff reclass; keep later bill payments applying normally.</x:v>
      </x:c>
      <x:c r="H24" s="30" t="str">
        <x:v>REVIEW — not posted</x:v>
      </x:c>
      <x:c r="I24" s="30" t="str">
        <x:v>Bill 41133546 dated 10/31/2025; GL rows 6579 + 11273.</x:v>
      </x:c>
    </x:row>
    <x:row r="25" ht="58" customHeight="1">
      <x:c r="A25" s="18" t="n">
        <x:v>46023</x:v>
      </x:c>
      <x:c r="B25" s="2" t="str">
        <x:v>KK AP AIS 01012026R</x:v>
      </x:c>
      <x:c r="C25" s="2" t="str">
        <x:v>2970.13 AIS Retainer</x:v>
      </x:c>
      <x:c r="D25" s="23" t="n">
        <x:f>E24</x:f>
        <x:v>47900</x:v>
      </x:c>
      <x:c r="E25" s="23"/>
      <x:c r="F25" s="29" t="str"/>
      <x:c r="G25" s="29" t="str">
        <x:v>Reverse cutoff reclass; keep later bill payments applying normally.</x:v>
      </x:c>
      <x:c r="H25" s="29" t="str">
        <x:v>REVIEW — not posted</x:v>
      </x:c>
      <x:c r="I25" s="29" t="str">
        <x:v>Bill 41133546 dated 10/31/2025; GL rows 6579 + 11273.</x:v>
      </x:c>
    </x:row>
    <x:row r="26" ht="58" customHeight="1">
      <x:c r="A26" s="17" t="n">
        <x:v>46022</x:v>
      </x:c>
      <x:c r="B26" s="10" t="str">
        <x:v>KK AP Canon 12312025</x:v>
      </x:c>
      <x:c r="C26" s="10" t="str">
        <x:v>2000 Accounts Payable</x:v>
      </x:c>
      <x:c r="D26" s="20" t="n">
        <x:f>'Loan review'!E18</x:f>
        <x:v>26875</x:v>
      </x:c>
      <x:c r="E26" s="20"/>
      <x:c r="F26" s="30" t="str">
        <x:v>Canon Financial Services 868683</x:v>
      </x:c>
      <x:c r="G26" s="30" t="str">
        <x:v>Reclass recorded financing installment from A/P to loan at year-end.</x:v>
      </x:c>
      <x:c r="H26" s="30" t="str">
        <x:v>REVIEW — not posted</x:v>
      </x:c>
      <x:c r="I26" s="30" t="str">
        <x:v>Bills 36168, 36167, 36166, 36165, 36164; 5 x 5,375; fees 11,825 excluded.</x:v>
      </x:c>
    </x:row>
    <x:row r="27" ht="58" customHeight="1">
      <x:c r="A27" s="18" t="n">
        <x:v>46022</x:v>
      </x:c>
      <x:c r="B27" s="2" t="str">
        <x:v>KK AP Canon 12312025</x:v>
      </x:c>
      <x:c r="C27" s="2" t="str">
        <x:v>2970.14 Canon 868683 Flatbed Cutter</x:v>
      </x:c>
      <x:c r="D27" s="23"/>
      <x:c r="E27" s="23" t="n">
        <x:f>D26</x:f>
        <x:v>26875</x:v>
      </x:c>
      <x:c r="F27" s="29" t="str"/>
      <x:c r="G27" s="29" t="str">
        <x:v>Reclass recorded financing installment from A/P to loan at year-end.</x:v>
      </x:c>
      <x:c r="H27" s="29" t="str">
        <x:v>REVIEW — not posted</x:v>
      </x:c>
      <x:c r="I27" s="29" t="str">
        <x:v>Bills 36168, 36167, 36166, 36165, 36164; 5 x 5,375; fees 11,825 excluded.</x:v>
      </x:c>
    </x:row>
    <x:row r="28" ht="58" customHeight="1">
      <x:c r="A28" s="17" t="n">
        <x:v>46023</x:v>
      </x:c>
      <x:c r="B28" s="10" t="str">
        <x:v>KK AP Canon 01012026R</x:v>
      </x:c>
      <x:c r="C28" s="10" t="str">
        <x:v>2000 Accounts Payable</x:v>
      </x:c>
      <x:c r="D28" s="20"/>
      <x:c r="E28" s="20" t="n">
        <x:f>D26</x:f>
        <x:v>26875</x:v>
      </x:c>
      <x:c r="F28" s="30" t="str">
        <x:v>Canon Financial Services 868683</x:v>
      </x:c>
      <x:c r="G28" s="30" t="str">
        <x:v>Reverse cutoff reclass; keep later bill payments applying normally.</x:v>
      </x:c>
      <x:c r="H28" s="30" t="str">
        <x:v>REVIEW — not posted</x:v>
      </x:c>
      <x:c r="I28" s="30" t="str">
        <x:v>Bills 36168, 36167, 36166, 36165, 36164; 5 x 5,375; fees 11,825 excluded.</x:v>
      </x:c>
    </x:row>
    <x:row r="29" ht="58" customHeight="1">
      <x:c r="A29" s="18" t="n">
        <x:v>46023</x:v>
      </x:c>
      <x:c r="B29" s="2" t="str">
        <x:v>KK AP Canon 01012026R</x:v>
      </x:c>
      <x:c r="C29" s="2" t="str">
        <x:v>2970.14 Canon 868683 Flatbed Cutter</x:v>
      </x:c>
      <x:c r="D29" s="23" t="n">
        <x:f>E28</x:f>
        <x:v>26875</x:v>
      </x:c>
      <x:c r="E29" s="23"/>
      <x:c r="F29" s="29" t="str"/>
      <x:c r="G29" s="29" t="str">
        <x:v>Reverse cutoff reclass; keep later bill payments applying normally.</x:v>
      </x:c>
      <x:c r="H29" s="29" t="str">
        <x:v>REVIEW — not posted</x:v>
      </x:c>
      <x:c r="I29" s="29" t="str">
        <x:v>Bills 36168, 36167, 36166, 36165, 36164; 5 x 5,375; fees 11,825 excluded.</x:v>
      </x:c>
    </x:row>
    <x:row r="30" ht="58" customHeight="1">
      <x:c r="A30" s="17" t="n">
        <x:v>46022</x:v>
      </x:c>
      <x:c r="B30" s="10" t="str">
        <x:v>KK AP KM1 12312025</x:v>
      </x:c>
      <x:c r="C30" s="10" t="str">
        <x:v>2000 Accounts Payable</x:v>
      </x:c>
      <x:c r="D30" s="20" t="n">
        <x:f>'Loan review'!E22</x:f>
        <x:v>24019.8</x:v>
      </x:c>
      <x:c r="E30" s="20"/>
      <x:c r="F30" s="30" t="str">
        <x:v>Konica Minolta</x:v>
      </x:c>
      <x:c r="G30" s="30" t="str">
        <x:v>Reclass recorded financing installment from A/P to loan at year-end.</x:v>
      </x:c>
      <x:c r="H30" s="30" t="str">
        <x:v>REVIEW — not posted</x:v>
      </x:c>
      <x:c r="I30" s="30" t="str">
        <x:v>Same retained two September bills; unpaid at 12/31, paid January 2026.</x:v>
      </x:c>
    </x:row>
    <x:row r="31" ht="58" customHeight="1">
      <x:c r="A31" s="18" t="n">
        <x:v>46022</x:v>
      </x:c>
      <x:c r="B31" s="2" t="str">
        <x:v>KK AP KM1 12312025</x:v>
      </x:c>
      <x:c r="C31" s="2" t="str">
        <x:v>2970.16 Konica Minolta KM-1</x:v>
      </x:c>
      <x:c r="D31" s="23"/>
      <x:c r="E31" s="23" t="n">
        <x:f>D30</x:f>
        <x:v>24019.8</x:v>
      </x:c>
      <x:c r="F31" s="29" t="str"/>
      <x:c r="G31" s="29" t="str">
        <x:v>Reclass recorded financing installment from A/P to loan at year-end.</x:v>
      </x:c>
      <x:c r="H31" s="29" t="str">
        <x:v>REVIEW — not posted</x:v>
      </x:c>
      <x:c r="I31" s="29" t="str">
        <x:v>Same retained two September bills; unpaid at 12/31, paid January 2026.</x:v>
      </x:c>
    </x:row>
    <x:row r="32" ht="58" customHeight="1">
      <x:c r="A32" s="17" t="n">
        <x:v>46023</x:v>
      </x:c>
      <x:c r="B32" s="10" t="str">
        <x:v>KK AP KM1 01012026R</x:v>
      </x:c>
      <x:c r="C32" s="10" t="str">
        <x:v>2000 Accounts Payable</x:v>
      </x:c>
      <x:c r="D32" s="20"/>
      <x:c r="E32" s="20" t="n">
        <x:f>D30</x:f>
        <x:v>24019.8</x:v>
      </x:c>
      <x:c r="F32" s="30" t="str">
        <x:v>Konica Minolta</x:v>
      </x:c>
      <x:c r="G32" s="30" t="str">
        <x:v>Reverse cutoff reclass; keep later bill payments applying normally.</x:v>
      </x:c>
      <x:c r="H32" s="30" t="str">
        <x:v>REVIEW — not posted</x:v>
      </x:c>
      <x:c r="I32" s="30" t="str">
        <x:v>Same retained two September bills; unpaid at 12/31, paid January 2026.</x:v>
      </x:c>
    </x:row>
    <x:row r="33" ht="58" customHeight="1">
      <x:c r="A33" s="18" t="n">
        <x:v>46023</x:v>
      </x:c>
      <x:c r="B33" s="2" t="str">
        <x:v>KK AP KM1 01012026R</x:v>
      </x:c>
      <x:c r="C33" s="2" t="str">
        <x:v>2970.16 Konica Minolta KM-1</x:v>
      </x:c>
      <x:c r="D33" s="23" t="n">
        <x:f>E32</x:f>
        <x:v>24019.8</x:v>
      </x:c>
      <x:c r="E33" s="23"/>
      <x:c r="F33" s="29" t="str"/>
      <x:c r="G33" s="29" t="str">
        <x:v>Reverse cutoff reclass; keep later bill payments applying normally.</x:v>
      </x:c>
      <x:c r="H33" s="29" t="str">
        <x:v>REVIEW — not posted</x:v>
      </x:c>
      <x:c r="I33" s="29" t="str">
        <x:v>Same retained two September bills; unpaid at 12/31, paid January 2026.</x:v>
      </x:c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34" customHeight="1">
      <x:c r="A35" s="9" t="str">
        <x:v>Control</x:v>
      </x:c>
      <x:c r="B35" s="9" t="str"/>
      <x:c r="C35" s="9" t="str"/>
      <x:c r="D35" s="9" t="str">
        <x:v>Debits</x:v>
      </x:c>
      <x:c r="E35" s="9" t="str">
        <x:v>Credits</x:v>
      </x:c>
      <x:c r="F35" s="9" t="str"/>
      <x:c r="G35" s="9" t="str"/>
      <x:c r="H35" s="9" t="str"/>
      <x:c r="I35" s="9" t="str"/>
    </x:row>
    <x:row r="36" ht="22" customHeight="1">
      <x:c r="A36" s="2" t="str">
        <x:v>All proposed lines</x:v>
      </x:c>
      <x:c r="B36" s="2"/>
      <x:c r="C36" s="2"/>
      <x:c r="D36" s="23" t="n">
        <x:f>SUM(D10:D33)</x:f>
        <x:v>285279.2</x:v>
      </x:c>
      <x:c r="E36" s="23" t="n">
        <x:f>SUM(E10:E33)</x:f>
        <x:v>285279.2</x:v>
      </x:c>
      <x:c r="F36" s="2"/>
      <x:c r="G36" s="2" t="str">
        <x:f>IF(ROUND(D36-E36,2)=0,"Debits equal credits","OUT OF BALANCE")</x:f>
        <x:v>Debits equal credits</x:v>
      </x:c>
      <x:c r="H36" s="2"/>
      <x:c r="I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2" customHeight="1">
      <x:c r="A39" s="28" t="str">
        <x:v>ALREADY POSTED — DO NOT REPEAT</x:v>
      </x:c>
      <x:c r="B39" s="2"/>
      <x:c r="C39" s="2"/>
      <x:c r="D39" s="2"/>
      <x:c r="E39" s="2"/>
      <x:c r="F39" s="2"/>
      <x:c r="G39" s="2"/>
      <x:c r="H39" s="2"/>
      <x:c r="I39" s="2"/>
    </x:row>
    <x:row r="40" ht="44" customHeight="1">
      <x:c r="A40" s="18" t="n">
        <x:v>45980</x:v>
      </x:c>
      <x:c r="B40" s="2" t="str">
        <x:v>KK Print 11192025</x:v>
      </x:c>
      <x:c r="C40" s="2" t="str">
        <x:v>5005.20 Printing COGS</x:v>
      </x:c>
      <x:c r="D40" s="23" t="n">
        <x:v>7517.86</x:v>
      </x:c>
      <x:c r="E40" s="23"/>
      <x:c r="F40" s="29" t="str"/>
      <x:c r="G40" s="29" t="str">
        <x:v>Printing withdrawal 35228 was misclassified to 2500.</x:v>
      </x:c>
      <x:c r="H40" s="29" t="str">
        <x:v>POSTED 39907</x:v>
      </x:c>
      <x:c r="I40" s="29" t="str">
        <x:v>Saved/reopened 09/21/2026</x:v>
      </x:c>
    </x:row>
    <x:row r="41" ht="44" customHeight="1">
      <x:c r="A41" s="18" t="n">
        <x:v>45980</x:v>
      </x:c>
      <x:c r="B41" s="2" t="str">
        <x:v>KK Print 11192025</x:v>
      </x:c>
      <x:c r="C41" s="2" t="str">
        <x:v>2500 PR Liabilities</x:v>
      </x:c>
      <x:c r="D41" s="23"/>
      <x:c r="E41" s="23" t="n">
        <x:v>7517.86</x:v>
      </x:c>
      <x:c r="F41" s="29" t="str"/>
      <x:c r="G41" s="29" t="str">
        <x:v>Restores parent 2500; does not change MN UI/SUTA.</x:v>
      </x:c>
      <x:c r="H41" s="29" t="str">
        <x:v>POSTED 39907</x:v>
      </x:c>
      <x:c r="I41" s="29" t="str">
        <x:v>https://qbo.intuit.com/app/journal?txnId=39907</x:v>
      </x:c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2" customHeight="1">
      <x:c r="A43" s="4" t="str">
        <x:v>December 2500 total 22,928.99 = parent 534.83 + FUTA 590.02 + MN UI/SUTA 21,804.14. No new SUTA charge.</x:v>
      </x:c>
      <x:c r="B43" s="2"/>
      <x:c r="C43" s="2"/>
      <x:c r="D43" s="2"/>
      <x:c r="E43" s="2"/>
      <x:c r="F43" s="2"/>
      <x:c r="G43" s="2"/>
      <x:c r="H43" s="2"/>
      <x:c r="I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2" customHeight="1">
      <x:c r="A45" s="28" t="str">
        <x:v>EQUITY — SOURCE FOUND, FINAL OFFSET NOT YET APPROVED</x:v>
      </x:c>
      <x:c r="B45" s="2"/>
      <x:c r="C45" s="2"/>
      <x:c r="D45" s="2"/>
      <x:c r="E45" s="2"/>
      <x:c r="F45" s="2"/>
      <x:c r="G45" s="2"/>
      <x:c r="H45" s="2"/>
      <x:c r="I45" s="2"/>
    </x:row>
    <x:row r="46" ht="30" customHeight="1">
      <x:c r="A46" s="29" t="str">
        <x:v>3000 Opening Balance Equity: 9/30 credit 9,500; 12/31 credit 9,700. Do not post the cockpit’s old 10,200 retained-earnings proposal.</x:v>
      </x:c>
      <x:c r="B46" s="29"/>
      <x:c r="C46" s="29"/>
      <x:c r="D46" s="29"/>
      <x:c r="E46" s="29"/>
      <x:c r="F46" s="29"/>
      <x:c r="G46" s="29"/>
      <x:c r="H46" s="29"/>
      <x:c r="I46" s="29"/>
    </x:row>
    <x:row r="47" ht="30" customHeight="1">
      <x:c r="A47" s="29" t="str">
        <x:v>07/16/2025 CC credit 36908: Dr 2050 Amex 10,000 / Cr 3000 OBE 10,000. QBO downloaded credit confirms actual Amex payment.</x:v>
      </x:c>
      <x:c r="B47" s="29"/>
      <x:c r="C47" s="29"/>
      <x:c r="D47" s="29"/>
      <x:c r="E47" s="29"/>
      <x:c r="F47" s="29"/>
      <x:c r="G47" s="29"/>
      <x:c r="H47" s="29"/>
      <x:c r="I47" s="29"/>
    </x:row>
    <x:row r="48" ht="30" customHeight="1">
      <x:c r="A48" s="29" t="str">
        <x:v>July US Bank 2204 statement PDF page 7 and Amex 07/29 statement both show this 10,000 payment. It was funded by the business bank.</x:v>
      </x:c>
      <x:c r="B48" s="29"/>
      <x:c r="C48" s="29"/>
      <x:c r="D48" s="29"/>
      <x:c r="E48" s="29"/>
      <x:c r="F48" s="29"/>
      <x:c r="G48" s="29"/>
      <x:c r="H48" s="29"/>
      <x:c r="I48" s="29"/>
    </x:row>
    <x:row r="49" ht="30" customHeight="1">
      <x:c r="A49" s="29" t="str">
        <x:v>Bank payment located: expense 32291 is dated 05/29/2025 but manually matched to the 07/16/2025 bank withdrawal. Dr 2050 / Cr 1010 10,000.</x:v>
      </x:c>
      <x:c r="B49" s="29"/>
      <x:c r="C49" s="29"/>
      <x:c r="D49" s="29"/>
      <x:c r="E49" s="29"/>
      <x:c r="F49" s="29"/>
      <x:c r="G49" s="29"/>
      <x:c r="H49" s="29"/>
      <x:c r="I49" s="29"/>
    </x:row>
    <x:row r="50" ht="30" customHeight="1">
      <x:c r="A50" s="29" t="str">
        <x:v>Audit conflict: 32291 was added and its Amex line reconciled on 07/12/2025, before the July withdrawal. A wrong bank match or duplicate card credit remains possible.</x:v>
      </x:c>
      <x:c r="B50" s="29"/>
      <x:c r="C50" s="29"/>
      <x:c r="D50" s="29"/>
      <x:c r="E50" s="29"/>
      <x:c r="F50" s="29"/>
      <x:c r="G50" s="29"/>
      <x:c r="H50" s="29"/>
      <x:c r="I50" s="29"/>
    </x:row>
    <x:row r="51" ht="30" customHeight="1">
      <x:c r="A51" s="29" t="str">
        <x:v>Do NOT credit 1010 again or transfer 10,200 to retained earnings. Reconcile the May–July Amex payments before selecting the equity offset.</x:v>
      </x:c>
      <x:c r="B51" s="29"/>
      <x:c r="C51" s="29"/>
      <x:c r="D51" s="29"/>
      <x:c r="E51" s="29"/>
      <x:c r="F51" s="29"/>
      <x:c r="G51" s="29"/>
      <x:c r="H51" s="29"/>
      <x:c r="I51" s="29"/>
    </x:row>
    <x:row r="52" ht="30" customHeight="1">
      <x:c r="A52" s="29" t="str">
        <x:v>36908 was added 04/12/2026 directly against 3000 and reconciled 04/13/2026. Both transactions are reconciled; no deletion, edit or new equity entry is approved.</x:v>
      </x:c>
      <x:c r="B52" s="29"/>
      <x:c r="C52" s="29"/>
      <x:c r="D52" s="29"/>
      <x:c r="E52" s="29"/>
      <x:c r="F52" s="29"/>
      <x:c r="G52" s="29"/>
      <x:c r="H52" s="29"/>
      <x:c r="I52" s="29"/>
    </x:row>
    <x:row r="53" ht="30" customHeight="1">
      <x:c r="A53" s="29" t="str">
        <x:v>06/27/2025 journal 38426: Dr 3000 500 / Cr 1011 500, “To reverse opening balance figure.” Do not reclass without tracing original setup.</x:v>
      </x:c>
      <x:c r="B53" s="29"/>
      <x:c r="C53" s="29"/>
      <x:c r="D53" s="29"/>
      <x:c r="E53" s="29"/>
      <x:c r="F53" s="29"/>
      <x:c r="G53" s="29"/>
      <x:c r="H53" s="29"/>
      <x:c r="I53" s="29"/>
    </x:row>
    <x:row r="54" ht="30" customHeight="1">
      <x:c r="A54" s="29" t="str">
        <x:v>12/29/2025 deposit 34632: Dr 1012 200 / Cr 3000 200. Confirmed reconciled opening bank balance; leave the bank deposit intact.</x:v>
      </x:c>
      <x:c r="B54" s="29"/>
      <x:c r="C54" s="29"/>
      <x:c r="D54" s="29"/>
      <x:c r="E54" s="29"/>
      <x:c r="F54" s="29"/>
      <x:c r="G54" s="29"/>
      <x:c r="H54" s="29"/>
      <x:c r="I54" s="29"/>
    </x:row>
    <x:row r="55" ht="30" customHeight="1">
      <x:c r="A55" s="29" t="str">
        <x:v>2026 extra 0.01 is outside these year-ends. The 1,406.64 delete/reinstate journals net to zero. No 2025 equity entry for either.</x:v>
      </x:c>
      <x:c r="B55" s="29"/>
      <x:c r="C55" s="29"/>
      <x:c r="D55" s="29"/>
      <x:c r="E55" s="29"/>
      <x:c r="F55" s="29"/>
      <x:c r="G55" s="29"/>
      <x:c r="H55" s="29"/>
      <x:c r="I55" s="29"/>
    </x:row>
    <x:row r="56" ht="30" customHeight="1">
      <x:c r="A56" s="29" t="str">
        <x:v>Old NEON: remaining 4,441.43 schedule difference equals 3,795.60 Loffler + 645.83 other-loan payments. Debit destinations still need proof.</x:v>
      </x:c>
      <x:c r="B56" s="29"/>
      <x:c r="C56" s="29"/>
      <x:c r="D56" s="29"/>
      <x:c r="E56" s="29"/>
      <x:c r="F56" s="29"/>
      <x:c r="G56" s="29"/>
      <x:c r="H56" s="29"/>
      <x:c r="I56" s="29"/>
    </x:row>
    <x:row r="57" ht="30" customHeight="1">
      <x:c r="A57" s="29" t="str">
        <x:v>No loan variance is sent automatically to interest, retained earnings, suspense or profit. Approval and saved-result verification remain required.</x:v>
      </x:c>
      <x:c r="B57" s="29"/>
      <x:c r="C57" s="29"/>
      <x:c r="D57" s="29"/>
      <x:c r="E57" s="29"/>
      <x:c r="F57" s="29"/>
      <x:c r="G57" s="29"/>
      <x:c r="H57" s="29"/>
      <x:c r="I57" s="29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2" customHeight="1">
      <x:c r="A59" s="4" t="str">
        <x:v>Bank source folder: CARES OneDrive / Organizing / Bank Statements. July 2204 and July 29 Amex PDFs reviewed 09/21/2026.</x:v>
      </x:c>
      <x:c r="B59" s="2"/>
      <x:c r="C59" s="2"/>
      <x:c r="D59" s="2"/>
      <x:c r="E59" s="2"/>
      <x:c r="F59" s="2"/>
      <x:c r="G59" s="2"/>
      <x:c r="H59" s="2"/>
      <x:c r="I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</x:row>
  </x:sheetData>
  <x:mergeCells>
    <x:mergeCell ref="A46:I46"/>
    <x:mergeCell ref="A47:I47"/>
    <x:mergeCell ref="A48:I48"/>
    <x:mergeCell ref="A49:I49"/>
    <x:mergeCell ref="A50:I50"/>
    <x:mergeCell ref="A51:I51"/>
    <x:mergeCell ref="A52:I52"/>
    <x:mergeCell ref="A53:I53"/>
    <x:mergeCell ref="A54:I54"/>
    <x:mergeCell ref="A55:I55"/>
    <x:mergeCell ref="A56:I56"/>
    <x:mergeCell ref="A57:I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80FF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3" hidden="0" customWidth="1"/>
    <x:col min="2" max="2" width="26" hidden="0" customWidth="1"/>
    <x:col min="3" max="3" width="14" hidden="0" customWidth="1"/>
    <x:col min="4" max="4" width="18" hidden="0" customWidth="1"/>
    <x:col min="5" max="5" width="18" hidden="0" customWidth="1"/>
    <x:col min="6" max="6" width="19" hidden="0" customWidth="1"/>
    <x:col min="7" max="7" width="18" hidden="0" customWidth="1"/>
    <x:col min="8" max="8" width="19" hidden="0" customWidth="1"/>
    <x:col min="9" max="9" width="3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IAZ | Loan balance reconciliation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FY: 10/01/2024–09/30/2025  |  Short year: 10/01/2025–12/31/2025  |  USD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22" customHeight="1">
      <x:c r="A5" s="4" t="str">
        <x:v>Positive balances = liabilities. A/P column contains only identified financing components; blank means not established.</x:v>
      </x:c>
      <x:c r="B5" s="2"/>
      <x:c r="C5" s="2"/>
      <x:c r="D5" s="2"/>
      <x:c r="E5" s="2"/>
      <x:c r="F5" s="2"/>
      <x:c r="G5" s="2"/>
      <x:c r="H5" s="2"/>
      <x:c r="I5" s="2"/>
    </x:row>
    <x:row r="6" ht="22" customHeight="1">
      <x:c r="A6" s="4" t="str">
        <x:v>Yellow: enter a supported, comparable loan target. Differences are research items, not automatic journal entries.</x:v>
      </x:c>
      <x:c r="B6" s="2"/>
      <x:c r="C6" s="2"/>
      <x:c r="D6" s="2"/>
      <x:c r="E6" s="2"/>
      <x:c r="F6" s="2"/>
      <x:c r="G6" s="2"/>
      <x:c r="H6" s="2"/>
      <x:c r="I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9" t="str">
        <x:v>Account</x:v>
      </x:c>
      <x:c r="B8" s="9" t="str">
        <x:v>Loan</x:v>
      </x:c>
      <x:c r="C8" s="9" t="str">
        <x:v>As of</x:v>
      </x:c>
      <x:c r="D8" s="9" t="str">
        <x:v>QBO loan</x:v>
      </x:c>
      <x:c r="E8" s="9" t="str">
        <x:v>Financing in A/P</x:v>
      </x:c>
      <x:c r="F8" s="9" t="str">
        <x:v>Loan + known A/P</x:v>
      </x:c>
      <x:c r="G8" s="9" t="str">
        <x:v>Supported target</x:v>
      </x:c>
      <x:c r="H8" s="9" t="str">
        <x:v>Target less books</x:v>
      </x:c>
      <x:c r="I8" s="9" t="str">
        <x:v>Status</x:v>
      </x:c>
    </x:row>
    <x:row r="9" ht="22" customHeight="1">
      <x:c r="A9" s="13" t="str">
        <x:v>2970.10</x:v>
      </x:c>
      <x:c r="B9" s="10" t="str">
        <x:v>Brown #1</x:v>
      </x:c>
      <x:c r="C9" s="17" t="n">
        <x:v>45930</x:v>
      </x:c>
      <x:c r="D9" s="19" t="n">
        <x:v>177500.95</x:v>
      </x:c>
      <x:c r="E9" s="19"/>
      <x:c r="F9" s="20" t="n">
        <x:f>D9+IF(E9="",0,E9)</x:f>
        <x:v>177500.95</x:v>
      </x:c>
      <x:c r="G9" s="21"/>
      <x:c r="H9" s="24" t="str">
        <x:f>IF(COUNT(G9,E9)&lt;2,"",ROUND(G9-F9,2))</x:f>
      </x:c>
      <x:c r="I9" s="26" t="str">
        <x:v>A/P scope unverified</x:v>
      </x:c>
    </x:row>
    <x:row r="10" ht="22" customHeight="1">
      <x:c r="A10" s="14" t="str">
        <x:v>2970.10</x:v>
      </x:c>
      <x:c r="B10" s="2" t="str">
        <x:v>Brown #1</x:v>
      </x:c>
      <x:c r="C10" s="18" t="n">
        <x:v>46022</x:v>
      </x:c>
      <x:c r="D10" s="22" t="n">
        <x:v>171277.03</x:v>
      </x:c>
      <x:c r="E10" s="22"/>
      <x:c r="F10" s="23" t="n">
        <x:f>D10+IF(E10="",0,E10)</x:f>
        <x:v>171277.03</x:v>
      </x:c>
      <x:c r="G10" s="21"/>
      <x:c r="H10" s="25" t="str">
        <x:f>IF(COUNT(G10,E10)&lt;2,"",ROUND(G10-F10,2))</x:f>
      </x:c>
      <x:c r="I10" s="27" t="str">
        <x:v>A/P scope unverified</x:v>
      </x:c>
    </x:row>
    <x:row r="11" ht="22" customHeight="1">
      <x:c r="A11" s="13" t="str">
        <x:v>2970.11</x:v>
      </x:c>
      <x:c r="B11" s="10" t="str">
        <x:v>Brown #2</x:v>
      </x:c>
      <x:c r="C11" s="17" t="n">
        <x:v>45930</x:v>
      </x:c>
      <x:c r="D11" s="19" t="n">
        <x:v>82872.48</x:v>
      </x:c>
      <x:c r="E11" s="19"/>
      <x:c r="F11" s="20" t="n">
        <x:f>D11+IF(E11="",0,E11)</x:f>
        <x:v>82872.48</x:v>
      </x:c>
      <x:c r="G11" s="21"/>
      <x:c r="H11" s="24" t="str">
        <x:f>IF(COUNT(G11,E11)&lt;2,"",ROUND(G11-F11,2))</x:f>
      </x:c>
      <x:c r="I11" s="26" t="str">
        <x:v>A/P scope unverified</x:v>
      </x:c>
    </x:row>
    <x:row r="12" ht="22" customHeight="1">
      <x:c r="A12" s="14" t="str">
        <x:v>2970.11</x:v>
      </x:c>
      <x:c r="B12" s="2" t="str">
        <x:v>Brown #2</x:v>
      </x:c>
      <x:c r="C12" s="18" t="n">
        <x:v>46022</x:v>
      </x:c>
      <x:c r="D12" s="22" t="n">
        <x:v>74872.48</x:v>
      </x:c>
      <x:c r="E12" s="22"/>
      <x:c r="F12" s="23" t="n">
        <x:f>D12+IF(E12="",0,E12)</x:f>
        <x:v>74872.48</x:v>
      </x:c>
      <x:c r="G12" s="21"/>
      <x:c r="H12" s="25" t="str">
        <x:f>IF(COUNT(G12,E12)&lt;2,"",ROUND(G12-F12,2))</x:f>
      </x:c>
      <x:c r="I12" s="27" t="str">
        <x:v>A/P scope unverified</x:v>
      </x:c>
    </x:row>
    <x:row r="13" ht="22" customHeight="1">
      <x:c r="A13" s="13" t="str">
        <x:v>2970.12</x:v>
      </x:c>
      <x:c r="B13" s="10" t="str">
        <x:v>SBA 6724567807</x:v>
      </x:c>
      <x:c r="C13" s="17" t="n">
        <x:v>45930</x:v>
      </x:c>
      <x:c r="D13" s="19" t="n">
        <x:v>93015.53</x:v>
      </x:c>
      <x:c r="E13" s="19"/>
      <x:c r="F13" s="20" t="n">
        <x:f>D13+IF(E13="",0,E13)</x:f>
        <x:v>93015.53</x:v>
      </x:c>
      <x:c r="G13" s="21"/>
      <x:c r="H13" s="24" t="str">
        <x:f>IF(COUNT(G13,E13)&lt;2,"",ROUND(G13-F13,2))</x:f>
      </x:c>
      <x:c r="I13" s="26" t="str">
        <x:v>A/P scope unverified</x:v>
      </x:c>
    </x:row>
    <x:row r="14" ht="22" customHeight="1">
      <x:c r="A14" s="14" t="str">
        <x:v>2970.12</x:v>
      </x:c>
      <x:c r="B14" s="2" t="str">
        <x:v>SBA 6724567807</x:v>
      </x:c>
      <x:c r="C14" s="18" t="n">
        <x:v>46022</x:v>
      </x:c>
      <x:c r="D14" s="22" t="n">
        <x:v>91730.93</x:v>
      </x:c>
      <x:c r="E14" s="22"/>
      <x:c r="F14" s="23" t="n">
        <x:f>D14+IF(E14="",0,E14)</x:f>
        <x:v>91730.93</x:v>
      </x:c>
      <x:c r="G14" s="21"/>
      <x:c r="H14" s="25" t="str">
        <x:f>IF(COUNT(G14,E14)&lt;2,"",ROUND(G14-F14,2))</x:f>
      </x:c>
      <x:c r="I14" s="27" t="str">
        <x:v>A/P scope unverified</x:v>
      </x:c>
    </x:row>
    <x:row r="15" ht="22" customHeight="1">
      <x:c r="A15" s="13" t="str">
        <x:v>2970.13</x:v>
      </x:c>
      <x:c r="B15" s="10" t="str">
        <x:v>AIS / PEAC</x:v>
      </x:c>
      <x:c r="C15" s="17" t="n">
        <x:v>45930</x:v>
      </x:c>
      <x:c r="D15" s="19" t="n">
        <x:v>42981.55</x:v>
      </x:c>
      <x:c r="E15" s="19" t="n">
        <x:v>0</x:v>
      </x:c>
      <x:c r="F15" s="20" t="n">
        <x:f>D15+IF(E15="",0,E15)</x:f>
        <x:v>42981.55</x:v>
      </x:c>
      <x:c r="G15" s="21"/>
      <x:c r="H15" s="24" t="str">
        <x:f>IF(COUNT(G15,E15)&lt;2,"",ROUND(G15-F15,2))</x:f>
      </x:c>
      <x:c r="I15" s="26" t="str">
        <x:v>A/P identified; target open</x:v>
      </x:c>
    </x:row>
    <x:row r="16" ht="22" customHeight="1">
      <x:c r="A16" s="14" t="str">
        <x:v>2970.13</x:v>
      </x:c>
      <x:c r="B16" s="2" t="str">
        <x:v>AIS / PEAC</x:v>
      </x:c>
      <x:c r="C16" s="18" t="n">
        <x:v>46022</x:v>
      </x:c>
      <x:c r="D16" s="22" t="n">
        <x:v>-4918.45</x:v>
      </x:c>
      <x:c r="E16" s="22" t="n">
        <x:v>47900</x:v>
      </x:c>
      <x:c r="F16" s="23" t="n">
        <x:f>D16+IF(E16="",0,E16)</x:f>
        <x:v>42981.55</x:v>
      </x:c>
      <x:c r="G16" s="21"/>
      <x:c r="H16" s="25" t="str">
        <x:f>IF(COUNT(G16,E16)&lt;2,"",ROUND(G16-F16,2))</x:f>
      </x:c>
      <x:c r="I16" s="27" t="str">
        <x:v>A/P identified; target open</x:v>
      </x:c>
    </x:row>
    <x:row r="17" ht="22" customHeight="1">
      <x:c r="A17" s="13" t="str">
        <x:v>2970.14</x:v>
      </x:c>
      <x:c r="B17" s="10" t="str">
        <x:v>Canon Financial 868683</x:v>
      </x:c>
      <x:c r="C17" s="17" t="n">
        <x:v>45930</x:v>
      </x:c>
      <x:c r="D17" s="19" t="n">
        <x:v>174051.16</x:v>
      </x:c>
      <x:c r="E17" s="19" t="n">
        <x:v>10750</x:v>
      </x:c>
      <x:c r="F17" s="20" t="n">
        <x:f>D17+IF(E17="",0,E17)</x:f>
        <x:v>184801.16</x:v>
      </x:c>
      <x:c r="G17" s="21"/>
      <x:c r="H17" s="24" t="str">
        <x:f>IF(COUNT(G17,E17)&lt;2,"",ROUND(G17-F17,2))</x:f>
      </x:c>
      <x:c r="I17" s="26" t="str">
        <x:v>A/P identified; target open</x:v>
      </x:c>
    </x:row>
    <x:row r="18" ht="22" customHeight="1">
      <x:c r="A18" s="14" t="str">
        <x:v>2970.14</x:v>
      </x:c>
      <x:c r="B18" s="2" t="str">
        <x:v>Canon Financial 868683</x:v>
      </x:c>
      <x:c r="C18" s="18" t="n">
        <x:v>46022</x:v>
      </x:c>
      <x:c r="D18" s="22" t="n">
        <x:v>157926.16</x:v>
      </x:c>
      <x:c r="E18" s="22" t="n">
        <x:v>26875</x:v>
      </x:c>
      <x:c r="F18" s="23" t="n">
        <x:f>D18+IF(E18="",0,E18)</x:f>
        <x:v>184801.16</x:v>
      </x:c>
      <x:c r="G18" s="21"/>
      <x:c r="H18" s="25" t="str">
        <x:f>IF(COUNT(G18,E18)&lt;2,"",ROUND(G18-F18,2))</x:f>
      </x:c>
      <x:c r="I18" s="27" t="str">
        <x:v>A/P identified; target open</x:v>
      </x:c>
    </x:row>
    <x:row r="19" ht="22" customHeight="1">
      <x:c r="A19" s="13" t="str">
        <x:v>2970.15</x:v>
      </x:c>
      <x:c r="B19" s="10" t="str">
        <x:v>Highland Capital</x:v>
      </x:c>
      <x:c r="C19" s="17" t="n">
        <x:v>45930</x:v>
      </x:c>
      <x:c r="D19" s="19" t="n">
        <x:v>141891.94</x:v>
      </x:c>
      <x:c r="E19" s="19" t="n">
        <x:v>9075</x:v>
      </x:c>
      <x:c r="F19" s="20" t="n">
        <x:f>D19+IF(E19="",0,E19)</x:f>
        <x:v>150966.94</x:v>
      </x:c>
      <x:c r="G19" s="21"/>
      <x:c r="H19" s="24" t="str">
        <x:f>IF(COUNT(G19,E19)&lt;2,"",ROUND(G19-F19,2))</x:f>
      </x:c>
      <x:c r="I19" s="26" t="str">
        <x:v>A/P identified; target open</x:v>
      </x:c>
    </x:row>
    <x:row r="20" ht="22" customHeight="1">
      <x:c r="A20" s="14" t="str">
        <x:v>2970.15</x:v>
      </x:c>
      <x:c r="B20" s="2" t="str">
        <x:v>Highland Capital</x:v>
      </x:c>
      <x:c r="C20" s="18" t="n">
        <x:v>46022</x:v>
      </x:c>
      <x:c r="D20" s="22" t="n">
        <x:v>136272.7</x:v>
      </x:c>
      <x:c r="E20" s="22" t="n">
        <x:v>0</x:v>
      </x:c>
      <x:c r="F20" s="23" t="n">
        <x:f>D20+IF(E20="",0,E20)</x:f>
        <x:v>136272.7</x:v>
      </x:c>
      <x:c r="G20" s="21"/>
      <x:c r="H20" s="25" t="str">
        <x:f>IF(COUNT(G20,E20)&lt;2,"",ROUND(G20-F20,2))</x:f>
      </x:c>
      <x:c r="I20" s="27" t="str">
        <x:v>A/P identified; target open</x:v>
      </x:c>
    </x:row>
    <x:row r="21" ht="22" customHeight="1">
      <x:c r="A21" s="13" t="str">
        <x:v>2970.16</x:v>
      </x:c>
      <x:c r="B21" s="10" t="str">
        <x:v>Konica KM-1</x:v>
      </x:c>
      <x:c r="C21" s="17" t="n">
        <x:v>45930</x:v>
      </x:c>
      <x:c r="D21" s="19" t="n">
        <x:v>570913.88</x:v>
      </x:c>
      <x:c r="E21" s="19" t="n">
        <x:v>24019.8</x:v>
      </x:c>
      <x:c r="F21" s="20" t="n">
        <x:f>D21+IF(E21="",0,E21)</x:f>
        <x:v>594933.68</x:v>
      </x:c>
      <x:c r="G21" s="21"/>
      <x:c r="H21" s="24" t="str">
        <x:f>IF(COUNT(G21,E21)&lt;2,"",ROUND(G21-F21,2))</x:f>
      </x:c>
      <x:c r="I21" s="26" t="str">
        <x:v>A/P identified; target open</x:v>
      </x:c>
    </x:row>
    <x:row r="22" ht="22" customHeight="1">
      <x:c r="A22" s="14" t="str">
        <x:v>2970.16</x:v>
      </x:c>
      <x:c r="B22" s="2" t="str">
        <x:v>Konica KM-1</x:v>
      </x:c>
      <x:c r="C22" s="18" t="n">
        <x:v>46022</x:v>
      </x:c>
      <x:c r="D22" s="22" t="n">
        <x:v>517794.45</x:v>
      </x:c>
      <x:c r="E22" s="22" t="n">
        <x:v>24019.8</x:v>
      </x:c>
      <x:c r="F22" s="23" t="n">
        <x:f>D22+IF(E22="",0,E22)</x:f>
        <x:v>541814.25</x:v>
      </x:c>
      <x:c r="G22" s="21"/>
      <x:c r="H22" s="25" t="str">
        <x:f>IF(COUNT(G22,E22)&lt;2,"",ROUND(G22-F22,2))</x:f>
      </x:c>
      <x:c r="I22" s="27" t="str">
        <x:v>A/P identified; target open</x:v>
      </x:c>
    </x:row>
    <x:row r="23" ht="22" customHeight="1">
      <x:c r="A23" s="13" t="str">
        <x:v>2970.17</x:v>
      </x:c>
      <x:c r="B23" s="10" t="str">
        <x:v>Konica / Rollem</x:v>
      </x:c>
      <x:c r="C23" s="17" t="n">
        <x:v>45930</x:v>
      </x:c>
      <x:c r="D23" s="19" t="n">
        <x:v>209490.08</x:v>
      </x:c>
      <x:c r="E23" s="19"/>
      <x:c r="F23" s="20" t="n">
        <x:f>D23+IF(E23="",0,E23)</x:f>
        <x:v>209490.08</x:v>
      </x:c>
      <x:c r="G23" s="21"/>
      <x:c r="H23" s="24" t="str">
        <x:f>IF(COUNT(G23,E23)&lt;2,"",ROUND(G23-F23,2))</x:f>
      </x:c>
      <x:c r="I23" s="26" t="str">
        <x:v>A/P scope unverified</x:v>
      </x:c>
    </x:row>
    <x:row r="24" ht="22" customHeight="1">
      <x:c r="A24" s="14" t="str">
        <x:v>2970.17</x:v>
      </x:c>
      <x:c r="B24" s="2" t="str">
        <x:v>Konica / Rollem</x:v>
      </x:c>
      <x:c r="C24" s="18" t="n">
        <x:v>46022</x:v>
      </x:c>
      <x:c r="D24" s="22" t="n">
        <x:v>201988.85</x:v>
      </x:c>
      <x:c r="E24" s="22"/>
      <x:c r="F24" s="23" t="n">
        <x:f>D24+IF(E24="",0,E24)</x:f>
        <x:v>201988.85</x:v>
      </x:c>
      <x:c r="G24" s="21"/>
      <x:c r="H24" s="25" t="str">
        <x:f>IF(COUNT(G24,E24)&lt;2,"",ROUND(G24-F24,2))</x:f>
      </x:c>
      <x:c r="I24" s="27" t="str">
        <x:v>A/P scope unverified</x:v>
      </x:c>
    </x:row>
    <x:row r="25" ht="22" customHeight="1">
      <x:c r="A25" s="13" t="str">
        <x:v>2970.18</x:v>
      </x:c>
      <x:c r="B25" s="10" t="str">
        <x:v>NEON — old loan</x:v>
      </x:c>
      <x:c r="C25" s="17" t="n">
        <x:v>45930</x:v>
      </x:c>
      <x:c r="D25" s="19" t="n">
        <x:v>69303.4</x:v>
      </x:c>
      <x:c r="E25" s="19"/>
      <x:c r="F25" s="20" t="n">
        <x:f>D25+IF(E25="",0,E25)</x:f>
        <x:v>69303.4</x:v>
      </x:c>
      <x:c r="G25" s="21"/>
      <x:c r="H25" s="24" t="str">
        <x:f>IF(COUNT(G25,E25)&lt;2,"",ROUND(G25-F25,2))</x:f>
      </x:c>
      <x:c r="I25" s="26" t="str">
        <x:v>A/P scope unverified</x:v>
      </x:c>
    </x:row>
    <x:row r="26" ht="22" customHeight="1">
      <x:c r="A26" s="14" t="str">
        <x:v>2970.18</x:v>
      </x:c>
      <x:c r="B26" s="2" t="str">
        <x:v>NEON — old loan</x:v>
      </x:c>
      <x:c r="C26" s="18" t="n">
        <x:v>46022</x:v>
      </x:c>
      <x:c r="D26" s="22" t="n">
        <x:v>58794.25</x:v>
      </x:c>
      <x:c r="E26" s="22"/>
      <x:c r="F26" s="23" t="n">
        <x:f>D26+IF(E26="",0,E26)</x:f>
        <x:v>58794.25</x:v>
      </x:c>
      <x:c r="G26" s="21"/>
      <x:c r="H26" s="25" t="str">
        <x:f>IF(COUNT(G26,E26)&lt;2,"",ROUND(G26-F26,2))</x:f>
      </x:c>
      <x:c r="I26" s="27" t="str">
        <x:v>A/P scope unverified</x:v>
      </x:c>
    </x:row>
    <x:row r="27" ht="22" customHeight="1">
      <x:c r="A27" s="13" t="str">
        <x:v>2970.19</x:v>
      </x:c>
      <x:c r="B27" s="10" t="str">
        <x:v>Loffler SEAL 65</x:v>
      </x:c>
      <x:c r="C27" s="17" t="n">
        <x:v>45930</x:v>
      </x:c>
      <x:c r="D27" s="19" t="n">
        <x:v>15107.82</x:v>
      </x:c>
      <x:c r="E27" s="19"/>
      <x:c r="F27" s="20" t="n">
        <x:f>D27+IF(E27="",0,E27)</x:f>
        <x:v>15107.82</x:v>
      </x:c>
      <x:c r="G27" s="21"/>
      <x:c r="H27" s="24" t="str">
        <x:f>IF(COUNT(G27,E27)&lt;2,"",ROUND(G27-F27,2))</x:f>
      </x:c>
      <x:c r="I27" s="26" t="str">
        <x:v>A/P scope unverified</x:v>
      </x:c>
    </x:row>
    <x:row r="28" ht="22" customHeight="1">
      <x:c r="A28" s="14" t="str">
        <x:v>2970.19</x:v>
      </x:c>
      <x:c r="B28" s="2" t="str">
        <x:v>Loffler SEAL 65</x:v>
      </x:c>
      <x:c r="C28" s="18" t="n">
        <x:v>46022</x:v>
      </x:c>
      <x:c r="D28" s="22" t="n">
        <x:v>15741.06</x:v>
      </x:c>
      <x:c r="E28" s="22"/>
      <x:c r="F28" s="23" t="n">
        <x:f>D28+IF(E28="",0,E28)</x:f>
        <x:v>15741.06</x:v>
      </x:c>
      <x:c r="G28" s="21"/>
      <x:c r="H28" s="25" t="str">
        <x:f>IF(COUNT(G28,E28)&lt;2,"",ROUND(G28-F28,2))</x:f>
      </x:c>
      <x:c r="I28" s="27" t="str">
        <x:v>A/P scope unverified</x:v>
      </x:c>
    </x:row>
    <x:row r="29" ht="22" customHeight="1">
      <x:c r="A29" s="13" t="str">
        <x:v>2970.20</x:v>
      </x:c>
      <x:c r="B29" s="10" t="str">
        <x:v>Loffler KM6136</x:v>
      </x:c>
      <x:c r="C29" s="17" t="n">
        <x:v>45930</x:v>
      </x:c>
      <x:c r="D29" s="19" t="n">
        <x:v>33622.98</x:v>
      </x:c>
      <x:c r="E29" s="19"/>
      <x:c r="F29" s="20" t="n">
        <x:f>D29+IF(E29="",0,E29)</x:f>
        <x:v>33622.98</x:v>
      </x:c>
      <x:c r="G29" s="21"/>
      <x:c r="H29" s="24" t="str">
        <x:f>IF(COUNT(G29,E29)&lt;2,"",ROUND(G29-F29,2))</x:f>
      </x:c>
      <x:c r="I29" s="26" t="str">
        <x:v>A/P scope unverified</x:v>
      </x:c>
    </x:row>
    <x:row r="30" ht="22" customHeight="1">
      <x:c r="A30" s="14" t="str">
        <x:v>2970.20</x:v>
      </x:c>
      <x:c r="B30" s="2" t="str">
        <x:v>Loffler KM6136</x:v>
      </x:c>
      <x:c r="C30" s="18" t="n">
        <x:v>46022</x:v>
      </x:c>
      <x:c r="D30" s="22" t="n">
        <x:v>35173.86</x:v>
      </x:c>
      <x:c r="E30" s="22"/>
      <x:c r="F30" s="23" t="n">
        <x:f>D30+IF(E30="",0,E30)</x:f>
        <x:v>35173.86</x:v>
      </x:c>
      <x:c r="G30" s="21"/>
      <x:c r="H30" s="25" t="str">
        <x:f>IF(COUNT(G30,E30)&lt;2,"",ROUND(G30-F30,2))</x:f>
      </x:c>
      <x:c r="I30" s="27" t="str">
        <x:v>A/P scope unverified</x:v>
      </x:c>
    </x:row>
    <x:row r="31" ht="22" customHeight="1">
      <x:c r="A31" s="13" t="str">
        <x:v>2970.21</x:v>
      </x:c>
      <x:c r="B31" s="10" t="str">
        <x:v>MEDA 310205</x:v>
      </x:c>
      <x:c r="C31" s="17" t="n">
        <x:v>45930</x:v>
      </x:c>
      <x:c r="D31" s="19" t="n">
        <x:v>221981.7</x:v>
      </x:c>
      <x:c r="E31" s="19"/>
      <x:c r="F31" s="20" t="n">
        <x:f>D31+IF(E31="",0,E31)</x:f>
        <x:v>221981.7</x:v>
      </x:c>
      <x:c r="G31" s="21"/>
      <x:c r="H31" s="24" t="str">
        <x:f>IF(COUNT(G31,E31)&lt;2,"",ROUND(G31-F31,2))</x:f>
      </x:c>
      <x:c r="I31" s="26" t="str">
        <x:v>A/P scope unverified</x:v>
      </x:c>
    </x:row>
    <x:row r="32" ht="22" customHeight="1">
      <x:c r="A32" s="14" t="str">
        <x:v>2970.21</x:v>
      </x:c>
      <x:c r="B32" s="2" t="str">
        <x:v>MEDA 310205</x:v>
      </x:c>
      <x:c r="C32" s="18" t="n">
        <x:v>46022</x:v>
      </x:c>
      <x:c r="D32" s="22" t="n">
        <x:v>217334.82</x:v>
      </x:c>
      <x:c r="E32" s="22"/>
      <x:c r="F32" s="23" t="n">
        <x:f>D32+IF(E32="",0,E32)</x:f>
        <x:v>217334.82</x:v>
      </x:c>
      <x:c r="G32" s="21"/>
      <x:c r="H32" s="25" t="str">
        <x:f>IF(COUNT(G32,E32)&lt;2,"",ROUND(G32-F32,2))</x:f>
      </x:c>
      <x:c r="I32" s="27" t="str">
        <x:v>A/P scope unverified</x:v>
      </x:c>
    </x:row>
    <x:row r="33" ht="22" customHeight="1">
      <x:c r="A33" s="13" t="str">
        <x:v>2970.22</x:v>
      </x:c>
      <x:c r="B33" s="10" t="str">
        <x:v>NEON 2025 cash flow</x:v>
      </x:c>
      <x:c r="C33" s="17" t="n">
        <x:v>45930</x:v>
      </x:c>
      <x:c r="D33" s="19" t="n">
        <x:v>250000</x:v>
      </x:c>
      <x:c r="E33" s="19"/>
      <x:c r="F33" s="20" t="n">
        <x:f>D33+IF(E33="",0,E33)</x:f>
        <x:v>250000</x:v>
      </x:c>
      <x:c r="G33" s="21"/>
      <x:c r="H33" s="24" t="str">
        <x:f>IF(COUNT(G33,E33)&lt;2,"",ROUND(G33-F33,2))</x:f>
      </x:c>
      <x:c r="I33" s="26" t="str">
        <x:v>A/P scope unverified</x:v>
      </x:c>
    </x:row>
    <x:row r="34" ht="22" customHeight="1">
      <x:c r="A34" s="14" t="str">
        <x:v>2970.22</x:v>
      </x:c>
      <x:c r="B34" s="2" t="str">
        <x:v>NEON 2025 cash flow</x:v>
      </x:c>
      <x:c r="C34" s="18" t="n">
        <x:v>46022</x:v>
      </x:c>
      <x:c r="D34" s="22" t="n">
        <x:v>250000</x:v>
      </x:c>
      <x:c r="E34" s="22"/>
      <x:c r="F34" s="23" t="n">
        <x:f>D34+IF(E34="",0,E34)</x:f>
        <x:v>250000</x:v>
      </x:c>
      <x:c r="G34" s="21"/>
      <x:c r="H34" s="25" t="str">
        <x:f>IF(COUNT(G34,E34)&lt;2,"",ROUND(G34-F34,2))</x:f>
      </x:c>
      <x:c r="I34" s="27" t="str">
        <x:v>A/P scope unverified</x:v>
      </x:c>
    </x:row>
    <x:row r="35" ht="22" customHeight="1">
      <x:c r="A35" s="10" t="str">
        <x:v>2973</x:v>
      </x:c>
      <x:c r="B35" s="10" t="str">
        <x:v>BMW</x:v>
      </x:c>
      <x:c r="C35" s="17" t="n">
        <x:v>45930</x:v>
      </x:c>
      <x:c r="D35" s="19" t="n">
        <x:v>3588.29</x:v>
      </x:c>
      <x:c r="E35" s="19"/>
      <x:c r="F35" s="20" t="n">
        <x:f>D35+IF(E35="",0,E35)</x:f>
        <x:v>3588.29</x:v>
      </x:c>
      <x:c r="G35" s="21"/>
      <x:c r="H35" s="24" t="str">
        <x:f>IF(COUNT(G35,E35)&lt;2,"",ROUND(G35-F35,2))</x:f>
      </x:c>
      <x:c r="I35" s="26" t="str">
        <x:v>A/P scope unverified</x:v>
      </x:c>
    </x:row>
    <x:row r="36" ht="22" customHeight="1">
      <x:c r="A36" s="2" t="str">
        <x:v>2973</x:v>
      </x:c>
      <x:c r="B36" s="2" t="str">
        <x:v>BMW</x:v>
      </x:c>
      <x:c r="C36" s="18" t="n">
        <x:v>46022</x:v>
      </x:c>
      <x:c r="D36" s="22" t="n">
        <x:v>0</x:v>
      </x:c>
      <x:c r="E36" s="22"/>
      <x:c r="F36" s="23" t="n">
        <x:f>D36+IF(E36="",0,E36)</x:f>
        <x:v>0</x:v>
      </x:c>
      <x:c r="G36" s="21"/>
      <x:c r="H36" s="25" t="str">
        <x:f>IF(COUNT(G36,E36)&lt;2,"",ROUND(G36-F36,2))</x:f>
      </x:c>
      <x:c r="I36" s="27" t="str">
        <x:v>A/P scope unverified</x:v>
      </x:c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2" customHeight="1">
      <x:c r="A39" s="28" t="str">
        <x:v>LOAN-SPECIFIC CONCLUSIONS</x:v>
      </x:c>
      <x:c r="B39" s="2"/>
      <x:c r="C39" s="2"/>
      <x:c r="D39" s="2"/>
      <x:c r="E39" s="2"/>
      <x:c r="F39" s="2"/>
      <x:c r="G39" s="2"/>
      <x:c r="H39" s="2"/>
      <x:c r="I39" s="2"/>
    </x:row>
    <x:row r="40" ht="32" customHeight="1">
      <x:c r="A40" s="2" t="str">
        <x:v>2970.10</x:v>
      </x:c>
      <x:c r="B40" s="29" t="str">
        <x:v>Retain. Frank to identify the one remaining Brown obligation; correction 39906 is already posted.</x:v>
      </x:c>
      <x:c r="C40" s="29"/>
      <x:c r="D40" s="29"/>
      <x:c r="E40" s="29"/>
      <x:c r="F40" s="29"/>
      <x:c r="G40" s="29"/>
      <x:c r="H40" s="29"/>
      <x:c r="I40" s="29"/>
    </x:row>
    <x:row r="41" ht="32" customHeight="1">
      <x:c r="A41" s="2" t="str">
        <x:v>2970.11</x:v>
      </x:c>
      <x:c r="B41" s="29" t="str">
        <x:v>Retain pending Frank’s identification; do not merge the two accounts or assume interest.</x:v>
      </x:c>
      <x:c r="C41" s="29"/>
      <x:c r="D41" s="29"/>
      <x:c r="E41" s="29"/>
      <x:c r="F41" s="29"/>
      <x:c r="G41" s="29"/>
      <x:c r="H41" s="29"/>
      <x:c r="I41" s="29"/>
    </x:row>
    <x:row r="42" ht="32" customHeight="1">
      <x:c r="A42" s="2" t="str">
        <x:v>2970.12</x:v>
      </x:c>
      <x:c r="B42" s="29" t="str">
        <x:v>Lender principal/interest and remaining related A/P have not been certified.</x:v>
      </x:c>
      <x:c r="C42" s="29"/>
      <x:c r="D42" s="29"/>
      <x:c r="E42" s="29"/>
      <x:c r="F42" s="29"/>
      <x:c r="G42" s="29"/>
      <x:c r="H42" s="29"/>
      <x:c r="I42" s="29"/>
    </x:row>
    <x:row r="43" ht="32" customHeight="1">
      <x:c r="A43" s="2" t="str">
        <x:v>2970.13</x:v>
      </x:c>
      <x:c r="B43" s="29" t="str">
        <x:v>Bill 41133546 transferred 47,900 to A/P. Proposed reclass restores 42,981.55; not an external payoff confirmation.</x:v>
      </x:c>
      <x:c r="C43" s="29"/>
      <x:c r="D43" s="29"/>
      <x:c r="E43" s="29"/>
      <x:c r="F43" s="29"/>
      <x:c r="G43" s="29"/>
      <x:c r="H43" s="29"/>
      <x:c r="I43" s="29"/>
    </x:row>
    <x:row r="44" ht="32" customHeight="1">
      <x:c r="A44" s="2" t="str">
        <x:v>2970.14</x:v>
      </x:c>
      <x:c r="B44" s="29" t="str">
        <x:v>Exclude A/P fees: 5,375 at 9/30 and 11,825 at 12/31. Cash application review remains open.</x:v>
      </x:c>
      <x:c r="C44" s="29"/>
      <x:c r="D44" s="29"/>
      <x:c r="E44" s="29"/>
      <x:c r="F44" s="29"/>
      <x:c r="G44" s="29"/>
      <x:c r="H44" s="29"/>
      <x:c r="I44" s="29"/>
    </x:row>
    <x:row r="45" ht="32" customHeight="1">
      <x:c r="A45" s="2" t="str">
        <x:v>2970.15</x:v>
      </x:c>
      <x:c r="B45" s="29" t="str">
        <x:v>September net A/P: 12,100 bills less 3,025 payment credit. December A/P zero. 6,050 payments continue.</x:v>
      </x:c>
      <x:c r="C45" s="29"/>
      <x:c r="D45" s="29"/>
      <x:c r="E45" s="29"/>
      <x:c r="F45" s="29"/>
      <x:c r="G45" s="29"/>
      <x:c r="H45" s="29"/>
      <x:c r="I45" s="29"/>
    </x:row>
    <x:row r="46" ht="32" customHeight="1">
      <x:c r="A46" s="2" t="str">
        <x:v>2970.16</x:v>
      </x:c>
      <x:c r="B46" s="29" t="str">
        <x:v>Two bills later paid in 2026. Retain 2025 book basis as instructed; first trusted external balance May 2026.</x:v>
      </x:c>
      <x:c r="C46" s="29"/>
      <x:c r="D46" s="29"/>
      <x:c r="E46" s="29"/>
      <x:c r="F46" s="29"/>
      <x:c r="G46" s="29"/>
      <x:c r="H46" s="29"/>
      <x:c r="I46" s="29"/>
    </x:row>
    <x:row r="47" ht="32" customHeight="1">
      <x:c r="A47" s="2" t="str">
        <x:v>2970.17</x:v>
      </x:c>
      <x:c r="B47" s="29" t="str">
        <x:v>Bulk Konica cash allocation is unresolved. No forced schedule adjustment.</x:v>
      </x:c>
      <x:c r="C47" s="29"/>
      <x:c r="D47" s="29"/>
      <x:c r="E47" s="29"/>
      <x:c r="F47" s="29"/>
      <x:c r="G47" s="29"/>
      <x:c r="H47" s="29"/>
      <x:c r="I47" s="29"/>
    </x:row>
    <x:row r="48" ht="32" customHeight="1">
      <x:c r="A48" s="2" t="str">
        <x:v>2970.18</x:v>
      </x:c>
      <x:c r="B48" s="29" t="str">
        <x:v>9/30 agrees to adopted schedule. 12/31 includes 3,795.60 Loffler and 645.83 other payments needing reclassification.</x:v>
      </x:c>
      <x:c r="C48" s="29"/>
      <x:c r="D48" s="29"/>
      <x:c r="E48" s="29"/>
      <x:c r="F48" s="29"/>
      <x:c r="G48" s="29"/>
      <x:c r="H48" s="29"/>
      <x:c r="I48" s="29"/>
    </x:row>
    <x:row r="49" ht="32" customHeight="1">
      <x:c r="A49" s="2" t="str">
        <x:v>2970.19</x:v>
      </x:c>
      <x:c r="B49" s="29" t="str">
        <x:v>Allocate lender payments and establish unpaid balance; do not count shared 3,795.60 cash twice.</x:v>
      </x:c>
      <x:c r="C49" s="29"/>
      <x:c r="D49" s="29"/>
      <x:c r="E49" s="29"/>
      <x:c r="F49" s="29"/>
      <x:c r="G49" s="29"/>
      <x:c r="H49" s="29"/>
      <x:c r="I49" s="29"/>
    </x:row>
    <x:row r="50" ht="32" customHeight="1">
      <x:c r="A50" s="2" t="str">
        <x:v>2970.20</x:v>
      </x:c>
      <x:c r="B50" s="29" t="str">
        <x:v>Allocate lender payments and establish unpaid balance; shared Loffler payment is not yet split.</x:v>
      </x:c>
      <x:c r="C50" s="29"/>
      <x:c r="D50" s="29"/>
      <x:c r="E50" s="29"/>
      <x:c r="F50" s="29"/>
      <x:c r="G50" s="29"/>
      <x:c r="H50" s="29"/>
      <x:c r="I50" s="29"/>
    </x:row>
    <x:row r="51" ht="32" customHeight="1">
      <x:c r="A51" s="2" t="str">
        <x:v>2970.21</x:v>
      </x:c>
      <x:c r="B51" s="29" t="str">
        <x:v>Retain statement-based book values. Do not replace with the older modeled schedule.</x:v>
      </x:c>
      <x:c r="C51" s="29"/>
      <x:c r="D51" s="29"/>
      <x:c r="E51" s="29"/>
      <x:c r="F51" s="29"/>
      <x:c r="G51" s="29"/>
      <x:c r="H51" s="29"/>
      <x:c r="I51" s="29"/>
    </x:row>
    <x:row r="52" ht="32" customHeight="1">
      <x:c r="A52" s="2" t="str">
        <x:v>2970.22</x:v>
      </x:c>
      <x:c r="B52" s="29" t="str">
        <x:v>Provisional 250,000 recognition retained. Confirm forgiveness, fees and interest-only payments from documents.</x:v>
      </x:c>
      <x:c r="C52" s="29"/>
      <x:c r="D52" s="29"/>
      <x:c r="E52" s="29"/>
      <x:c r="F52" s="29"/>
      <x:c r="G52" s="29"/>
      <x:c r="H52" s="29"/>
      <x:c r="I52" s="29"/>
    </x:row>
    <x:row r="53" ht="32" customHeight="1">
      <x:c r="A53" s="2" t="str">
        <x:v>2973</x:v>
      </x:c>
      <x:c r="B53" s="29" t="str">
        <x:v>December balance zero in QBO. No additional payoff entry proposed.</x:v>
      </x:c>
      <x:c r="C53" s="29"/>
      <x:c r="D53" s="29"/>
      <x:c r="E53" s="29"/>
      <x:c r="F53" s="29"/>
      <x:c r="G53" s="29"/>
      <x:c r="H53" s="29"/>
      <x:c r="I53" s="29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2" customHeight="1">
      <x:c r="A55" s="4" t="str">
        <x:v>Sources: QBO trial balances exported 09/21/2026 for both year-ends; targeted A/P reports refreshed 09/21/2026.</x:v>
      </x:c>
      <x:c r="B55" s="2"/>
      <x:c r="C55" s="2"/>
      <x:c r="D55" s="2"/>
      <x:c r="E55" s="2"/>
      <x:c r="F55" s="2"/>
      <x:c r="G55" s="2"/>
      <x:c r="H55" s="2"/>
      <x:c r="I55" s="2"/>
    </x:row>
    <x:row r="56" ht="22" customHeight="1">
      <x:c r="A56" s="4" t="str">
        <x:v>A/P source: Peac Solutions; Konica Minolta; exact Canon Financial Services 868683; Highland Capital Corporation #20223202.</x:v>
      </x:c>
      <x:c r="B56" s="2"/>
      <x:c r="C56" s="2"/>
      <x:c r="D56" s="2"/>
      <x:c r="E56" s="2"/>
      <x:c r="F56" s="2"/>
      <x:c r="G56" s="2"/>
      <x:c r="H56" s="2"/>
      <x:c r="I56" s="2"/>
    </x:row>
    <x:row r="57" ht="22" customHeight="1">
      <x:c r="A57" s="4" t="str">
        <x:v>Cash evidence: original supplied GL, linked QBO bills/payments and lender remittance documents. Detail on Payment detail.</x:v>
      </x:c>
      <x:c r="B57" s="2"/>
      <x:c r="C57" s="2"/>
      <x:c r="D57" s="2"/>
      <x:c r="E57" s="2"/>
      <x:c r="F57" s="2"/>
      <x:c r="G57" s="2"/>
      <x:c r="H57" s="2"/>
      <x:c r="I57" s="2"/>
    </x:row>
    <x:row r="58" ht="22" customHeight="1">
      <x:c r="A58" s="4" t="str">
        <x:v>A/P reclassifications preserve combined liability. They do not establish lender principal, forgive debt, or create cash payments.</x:v>
      </x:c>
      <x:c r="B58" s="2"/>
      <x:c r="C58" s="2"/>
      <x:c r="D58" s="2"/>
      <x:c r="E58" s="2"/>
      <x:c r="F58" s="2"/>
      <x:c r="G58" s="2"/>
      <x:c r="H58" s="2"/>
      <x:c r="I58" s="2"/>
    </x:row>
    <x:row r="59" ht="22" customHeight="1">
      <x:c r="A59" s="4" t="str">
        <x:v>September entries are reversed October 1. December entries therefore use the full December cutoff balance, then reverse January 1.</x:v>
      </x:c>
      <x:c r="B59" s="2"/>
      <x:c r="C59" s="2"/>
      <x:c r="D59" s="2"/>
      <x:c r="E59" s="2"/>
      <x:c r="F59" s="2"/>
      <x:c r="G59" s="2"/>
      <x:c r="H59" s="2"/>
      <x:c r="I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</x:row>
  </x:sheetData>
  <x:mergeCells>
    <x:mergeCell ref="B40:I40"/>
    <x:mergeCell ref="B41:I41"/>
    <x:mergeCell ref="B42:I42"/>
    <x:mergeCell ref="B43:I43"/>
    <x:mergeCell ref="B44:I44"/>
    <x:mergeCell ref="B45:I45"/>
    <x:mergeCell ref="B46:I46"/>
    <x:mergeCell ref="B47:I47"/>
    <x:mergeCell ref="B48:I48"/>
    <x:mergeCell ref="B49:I49"/>
    <x:mergeCell ref="B50:I50"/>
    <x:mergeCell ref="B51:I51"/>
    <x:mergeCell ref="B52:I52"/>
    <x:mergeCell ref="B53:I5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80FF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7" hidden="0" customWidth="1"/>
    <x:col min="5" max="5" width="17" hidden="0" customWidth="1"/>
    <x:col min="6" max="6" width="24" hidden="0" customWidth="1"/>
    <x:col min="7" max="7" width="27" hidden="0" customWidth="1"/>
    <x:col min="8" max="8" width="16" hidden="0" customWidth="1"/>
    <x:col min="9" max="9" width="8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IAZ | Actual loan-payment evidence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Actual cash dates through 12/31/2025. Held allocations remain visible; no 2026 payments added.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22" customHeight="1">
      <x:c r="A5" s="4" t="str">
        <x:v>Allocated column is the amount used in the schedules. Cash column is a source reference and can repeat across candidate loans.</x:v>
      </x:c>
      <x:c r="B5" s="2"/>
      <x:c r="C5" s="2"/>
      <x:c r="D5" s="2"/>
      <x:c r="E5" s="2"/>
      <x:c r="F5" s="2"/>
      <x:c r="G5" s="2"/>
      <x:c r="H5" s="2"/>
      <x:c r="I5" s="2"/>
    </x:row>
    <x:row r="6" ht="22" customHeight="1">
      <x:c r="A6" s="4" t="str">
        <x:v>Do not total the Cash column: shared Loffler references are intentionally unallocated. Bills are not cash payments.</x:v>
      </x:c>
      <x:c r="B6" s="2"/>
      <x:c r="C6" s="2"/>
      <x:c r="D6" s="2"/>
      <x:c r="E6" s="2"/>
      <x:c r="F6" s="2"/>
      <x:c r="G6" s="2"/>
      <x:c r="H6" s="2"/>
      <x:c r="I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9" t="str">
        <x:v>Loan key</x:v>
      </x:c>
      <x:c r="B8" s="9" t="str">
        <x:v>Account</x:v>
      </x:c>
      <x:c r="C8" s="9" t="str">
        <x:v>Cash date</x:v>
      </x:c>
      <x:c r="D8" s="9" t="str">
        <x:v>Source cash</x:v>
      </x:c>
      <x:c r="E8" s="9" t="str">
        <x:v>Allocated cash</x:v>
      </x:c>
      <x:c r="F8" s="9" t="str">
        <x:v>Status</x:v>
      </x:c>
      <x:c r="G8" s="9" t="str">
        <x:v>Reference</x:v>
      </x:c>
      <x:c r="H8" s="9" t="str">
        <x:v>GL source row</x:v>
      </x:c>
      <x:c r="I8" s="9" t="str">
        <x:v>Evidence / allocation note</x:v>
      </x:c>
    </x:row>
    <x:row r="9" ht="42" customHeight="1">
      <x:c r="A9" s="10" t="str">
        <x:v>km1</x:v>
      </x:c>
      <x:c r="B9" s="13" t="str">
        <x:v>2970.16</x:v>
      </x:c>
      <x:c r="C9" s="17" t="n">
        <x:v>45574</x:v>
      </x:c>
      <x:c r="D9" s="19" t="n">
        <x:v>12009.9</x:v>
      </x:c>
      <x:c r="E9" s="19" t="n">
        <x:v>12009.9</x:v>
      </x:c>
      <x:c r="F9" s="10" t="str">
        <x:v>included</x:v>
      </x:c>
      <x:c r="G9" s="10" t="str">
        <x:v>Bill Payment (Credit Card)</x:v>
      </x:c>
      <x:c r="H9" s="10" t="n">
        <x:v>6724</x:v>
      </x:c>
      <x:c r="I9" s="30" t="str">
        <x:v>KM-1 installment paid by Amex; separately recorded card surcharges excluded.</x:v>
      </x:c>
    </x:row>
    <x:row r="10" ht="42" customHeight="1">
      <x:c r="A10" s="2" t="str">
        <x:v>km1</x:v>
      </x:c>
      <x:c r="B10" s="14" t="str">
        <x:v>2970.16</x:v>
      </x:c>
      <x:c r="C10" s="18" t="n">
        <x:v>45588</x:v>
      </x:c>
      <x:c r="D10" s="22" t="n">
        <x:v>12009.9</x:v>
      </x:c>
      <x:c r="E10" s="22" t="n">
        <x:v>12009.9</x:v>
      </x:c>
      <x:c r="F10" s="2" t="str">
        <x:v>included</x:v>
      </x:c>
      <x:c r="G10" s="2" t="str">
        <x:v>Bill Payment (Credit Card)</x:v>
      </x:c>
      <x:c r="H10" s="2" t="n">
        <x:v>6752</x:v>
      </x:c>
      <x:c r="I10" s="29" t="str">
        <x:v>KM-1 installment paid by Amex; separately recorded card surcharges excluded.</x:v>
      </x:c>
    </x:row>
    <x:row r="11" ht="42" customHeight="1">
      <x:c r="A11" s="10" t="str">
        <x:v>km1</x:v>
      </x:c>
      <x:c r="B11" s="13" t="str">
        <x:v>2970.16</x:v>
      </x:c>
      <x:c r="C11" s="17" t="n">
        <x:v>45601</x:v>
      </x:c>
      <x:c r="D11" s="19" t="n">
        <x:v>12009.9</x:v>
      </x:c>
      <x:c r="E11" s="19" t="n">
        <x:v>12009.9</x:v>
      </x:c>
      <x:c r="F11" s="10" t="str">
        <x:v>included</x:v>
      </x:c>
      <x:c r="G11" s="10" t="str">
        <x:v>Bill Payment (Credit Card)</x:v>
      </x:c>
      <x:c r="H11" s="10" t="n">
        <x:v>6827</x:v>
      </x:c>
      <x:c r="I11" s="30" t="str">
        <x:v>KM-1 installment paid by Amex; separately recorded card surcharges excluded.</x:v>
      </x:c>
    </x:row>
    <x:row r="12" ht="42" customHeight="1">
      <x:c r="A12" s="2" t="str">
        <x:v>km1</x:v>
      </x:c>
      <x:c r="B12" s="14" t="str">
        <x:v>2970.16</x:v>
      </x:c>
      <x:c r="C12" s="18" t="n">
        <x:v>45601</x:v>
      </x:c>
      <x:c r="D12" s="22" t="n">
        <x:v>12009.9</x:v>
      </x:c>
      <x:c r="E12" s="22" t="n">
        <x:v>12009.9</x:v>
      </x:c>
      <x:c r="F12" s="2" t="str">
        <x:v>included</x:v>
      </x:c>
      <x:c r="G12" s="2" t="str">
        <x:v>Bill Payment (Credit Card)</x:v>
      </x:c>
      <x:c r="H12" s="2" t="n">
        <x:v>6829</x:v>
      </x:c>
      <x:c r="I12" s="29" t="str">
        <x:v>KM-1 installment paid by Amex; separately recorded card surcharges excluded.</x:v>
      </x:c>
    </x:row>
    <x:row r="13" ht="42" customHeight="1">
      <x:c r="A13" s="10" t="str">
        <x:v>km1</x:v>
      </x:c>
      <x:c r="B13" s="13" t="str">
        <x:v>2970.16</x:v>
      </x:c>
      <x:c r="C13" s="17" t="n">
        <x:v>45677</x:v>
      </x:c>
      <x:c r="D13" s="19" t="n">
        <x:v>12009.9</x:v>
      </x:c>
      <x:c r="E13" s="19" t="n">
        <x:v>12009.9</x:v>
      </x:c>
      <x:c r="F13" s="10" t="str">
        <x:v>included</x:v>
      </x:c>
      <x:c r="G13" s="10" t="str">
        <x:v>Bill Payment (Credit Card)</x:v>
      </x:c>
      <x:c r="H13" s="10" t="n">
        <x:v>6929</x:v>
      </x:c>
      <x:c r="I13" s="30" t="str">
        <x:v>KM-1 installment paid by Amex; separately recorded card surcharges excluded.</x:v>
      </x:c>
    </x:row>
    <x:row r="14" ht="42" customHeight="1">
      <x:c r="A14" s="2" t="str">
        <x:v>km1</x:v>
      </x:c>
      <x:c r="B14" s="14" t="str">
        <x:v>2970.16</x:v>
      </x:c>
      <x:c r="C14" s="18" t="n">
        <x:v>45859</x:v>
      </x:c>
      <x:c r="D14" s="22" t="n">
        <x:v>12384</x:v>
      </x:c>
      <x:c r="E14" s="22" t="n">
        <x:v>0</x:v>
      </x:c>
      <x:c r="F14" s="2" t="str">
        <x:v>held</x:v>
      </x:c>
      <x:c r="G14" s="2" t="str">
        <x:v>Expense</x:v>
      </x:c>
      <x:c r="H14" s="2" t="n">
        <x:v>7416</x:v>
      </x:c>
      <x:c r="I14" s="29" t="str">
        <x:v>Cash payment confirmed, but allocation between Konica accounts, installments and other charges is unresolved. Not assumed entirely KM-1 principal/interest.</x:v>
      </x:c>
    </x:row>
    <x:row r="15" ht="42" customHeight="1">
      <x:c r="A15" s="10" t="str">
        <x:v>km1</x:v>
      </x:c>
      <x:c r="B15" s="13" t="str">
        <x:v>2970.16</x:v>
      </x:c>
      <x:c r="C15" s="17" t="n">
        <x:v>45918</x:v>
      </x:c>
      <x:c r="D15" s="19" t="n">
        <x:v>150317.45</x:v>
      </x:c>
      <x:c r="E15" s="19" t="n">
        <x:v>0</x:v>
      </x:c>
      <x:c r="F15" s="10" t="str">
        <x:v>held</x:v>
      </x:c>
      <x:c r="G15" s="10" t="str">
        <x:v>Web Authorized Pmt Konica Minolta</x:v>
      </x:c>
      <x:c r="H15" s="10" t="n">
        <x:v>2151</x:v>
      </x:c>
      <x:c r="I15" s="30" t="str">
        <x:v>Cash payment confirmed, but allocation between Konica accounts, installments and other charges is unresolved. Not assumed entirely KM-1 principal/interest.</x:v>
      </x:c>
    </x:row>
    <x:row r="16" ht="42" customHeight="1">
      <x:c r="A16" s="2" t="str">
        <x:v>km1</x:v>
      </x:c>
      <x:c r="B16" s="14" t="str">
        <x:v>2970.16</x:v>
      </x:c>
      <x:c r="C16" s="18" t="n">
        <x:v>45946</x:v>
      </x:c>
      <x:c r="D16" s="22" t="n">
        <x:v>55839.89</x:v>
      </x:c>
      <x:c r="E16" s="22" t="n">
        <x:v>0</x:v>
      </x:c>
      <x:c r="F16" s="2" t="str">
        <x:v>held</x:v>
      </x:c>
      <x:c r="G16" s="2" t="str">
        <x:v>Web Authorized Pmt Konica Minolta</x:v>
      </x:c>
      <x:c r="H16" s="2" t="n">
        <x:v>2362</x:v>
      </x:c>
      <x:c r="I16" s="29" t="str">
        <x:v>Cash payment confirmed, but allocation between Konica accounts, installments and other charges is unresolved. Not assumed entirely KM-1 principal/interest.</x:v>
      </x:c>
    </x:row>
    <x:row r="17" ht="42" customHeight="1">
      <x:c r="A17" s="10" t="str">
        <x:v>canon</x:v>
      </x:c>
      <x:c r="B17" s="13" t="str">
        <x:v>2970.14</x:v>
      </x:c>
      <x:c r="C17" s="17" t="n">
        <x:v>45576</x:v>
      </x:c>
      <x:c r="D17" s="19" t="n">
        <x:v>5375</x:v>
      </x:c>
      <x:c r="E17" s="19" t="n">
        <x:v>5375</x:v>
      </x:c>
      <x:c r="F17" s="10" t="str">
        <x:v>included</x:v>
      </x:c>
      <x:c r="G17" s="10" t="str">
        <x:v>ACH</x:v>
      </x:c>
      <x:c r="H17" s="10" t="n">
        <x:v>93</x:v>
      </x:c>
      <x:c r="I17" s="30" t="str">
        <x:v>Canon Financial 868683 standard 5,375 installment payment.</x:v>
      </x:c>
    </x:row>
    <x:row r="18" ht="42" customHeight="1">
      <x:c r="A18" s="2" t="str">
        <x:v>canon</x:v>
      </x:c>
      <x:c r="B18" s="14" t="str">
        <x:v>2970.14</x:v>
      </x:c>
      <x:c r="C18" s="18" t="n">
        <x:v>45588</x:v>
      </x:c>
      <x:c r="D18" s="22" t="n">
        <x:v>17200</x:v>
      </x:c>
      <x:c r="E18" s="22" t="n">
        <x:v>0</x:v>
      </x:c>
      <x:c r="F18" s="2" t="str">
        <x:v>held</x:v>
      </x:c>
      <x:c r="G18" s="2" t="str">
        <x:v>ACH</x:v>
      </x:c>
      <x:c r="H18" s="2" t="n">
        <x:v>174</x:v>
      </x:c>
      <x:c r="I18" s="29" t="str">
        <x:v>Cash payment identified; loan installment versus late-fee/service allocation remains unresolved. Entire gross amount is not assumed to reduce the amortizing loan.</x:v>
      </x:c>
    </x:row>
    <x:row r="19" ht="42" customHeight="1">
      <x:c r="A19" s="10" t="str">
        <x:v>canon</x:v>
      </x:c>
      <x:c r="B19" s="13" t="str">
        <x:v>2970.14</x:v>
      </x:c>
      <x:c r="C19" s="17" t="n">
        <x:v>45632</x:v>
      </x:c>
      <x:c r="D19" s="19" t="n">
        <x:v>7525</x:v>
      </x:c>
      <x:c r="E19" s="19" t="n">
        <x:v>0</x:v>
      </x:c>
      <x:c r="F19" s="10" t="str">
        <x:v>held</x:v>
      </x:c>
      <x:c r="G19" s="10" t="str">
        <x:v>ACH - P1143612</x:v>
      </x:c>
      <x:c r="H19" s="10" t="n">
        <x:v>469</x:v>
      </x:c>
      <x:c r="I19" s="30" t="str">
        <x:v>Cash payment identified; loan installment versus late-fee/service allocation remains unresolved. Entire gross amount is not assumed to reduce the amortizing loan.</x:v>
      </x:c>
    </x:row>
    <x:row r="20" ht="42" customHeight="1">
      <x:c r="A20" s="2" t="str">
        <x:v>canon</x:v>
      </x:c>
      <x:c r="B20" s="14" t="str">
        <x:v>2970.14</x:v>
      </x:c>
      <x:c r="C20" s="18" t="n">
        <x:v>45646</x:v>
      </x:c>
      <x:c r="D20" s="22" t="n">
        <x:v>5375</x:v>
      </x:c>
      <x:c r="E20" s="22" t="n">
        <x:v>5375</x:v>
      </x:c>
      <x:c r="F20" s="2" t="str">
        <x:v>included</x:v>
      </x:c>
      <x:c r="G20" s="2" t="str">
        <x:v>ACH</x:v>
      </x:c>
      <x:c r="H20" s="2" t="n">
        <x:v>559</x:v>
      </x:c>
      <x:c r="I20" s="29" t="str">
        <x:v>Canon Financial 868683 standard 5,375 installment payment.</x:v>
      </x:c>
    </x:row>
    <x:row r="21" ht="42" customHeight="1">
      <x:c r="A21" s="10" t="str">
        <x:v>canon</x:v>
      </x:c>
      <x:c r="B21" s="13" t="str">
        <x:v>2970.14</x:v>
      </x:c>
      <x:c r="C21" s="17" t="n">
        <x:v>45748</x:v>
      </x:c>
      <x:c r="D21" s="19" t="n">
        <x:v>7525</x:v>
      </x:c>
      <x:c r="E21" s="19" t="n">
        <x:v>0</x:v>
      </x:c>
      <x:c r="F21" s="10" t="str">
        <x:v>held</x:v>
      </x:c>
      <x:c r="G21" s="10" t="str">
        <x:v>Bill Payment (Check)</x:v>
      </x:c>
      <x:c r="H21" s="10" t="n">
        <x:v>1143</x:v>
      </x:c>
      <x:c r="I21" s="30" t="str">
        <x:v>Cash payment identified; loan installment versus late-fee/service allocation remains unresolved. Entire gross amount is not assumed to reduce the amortizing loan.</x:v>
      </x:c>
    </x:row>
    <x:row r="22" ht="42" customHeight="1">
      <x:c r="A22" s="2" t="str">
        <x:v>canon</x:v>
      </x:c>
      <x:c r="B22" s="14" t="str">
        <x:v>2970.14</x:v>
      </x:c>
      <x:c r="C22" s="18" t="n">
        <x:v>45748</x:v>
      </x:c>
      <x:c r="D22" s="22" t="n">
        <x:v>6450</x:v>
      </x:c>
      <x:c r="E22" s="22" t="n">
        <x:v>0</x:v>
      </x:c>
      <x:c r="F22" s="2" t="str">
        <x:v>held</x:v>
      </x:c>
      <x:c r="G22" s="2" t="str">
        <x:v>Bill Payment (Check)</x:v>
      </x:c>
      <x:c r="H22" s="2" t="n">
        <x:v>1144</x:v>
      </x:c>
      <x:c r="I22" s="29" t="str">
        <x:v>Cash payment identified; loan installment versus late-fee/service allocation remains unresolved. Entire gross amount is not assumed to reduce the amortizing loan.</x:v>
      </x:c>
    </x:row>
    <x:row r="23" ht="42" customHeight="1">
      <x:c r="A23" s="10" t="str">
        <x:v>canon</x:v>
      </x:c>
      <x:c r="B23" s="13" t="str">
        <x:v>2970.14</x:v>
      </x:c>
      <x:c r="C23" s="17" t="n">
        <x:v>45817</x:v>
      </x:c>
      <x:c r="D23" s="19" t="n">
        <x:v>6987.5</x:v>
      </x:c>
      <x:c r="E23" s="19" t="n">
        <x:v>0</x:v>
      </x:c>
      <x:c r="F23" s="10" t="str">
        <x:v>held</x:v>
      </x:c>
      <x:c r="G23" s="10" t="str">
        <x:v>Bill Payment (Check)</x:v>
      </x:c>
      <x:c r="H23" s="10" t="n">
        <x:v>1572</x:v>
      </x:c>
      <x:c r="I23" s="30" t="str">
        <x:v>Cash payment identified; loan installment versus late-fee/service allocation remains unresolved. Entire gross amount is not assumed to reduce the amortizing loan.</x:v>
      </x:c>
    </x:row>
    <x:row r="24" ht="42" customHeight="1">
      <x:c r="A24" s="2" t="str">
        <x:v>canon</x:v>
      </x:c>
      <x:c r="B24" s="14" t="str">
        <x:v>2970.14</x:v>
      </x:c>
      <x:c r="C24" s="18" t="n">
        <x:v>45860</x:v>
      </x:c>
      <x:c r="D24" s="22" t="n">
        <x:v>5375</x:v>
      </x:c>
      <x:c r="E24" s="22" t="n">
        <x:v>5375</x:v>
      </x:c>
      <x:c r="F24" s="2" t="str">
        <x:v>included</x:v>
      </x:c>
      <x:c r="G24" s="2" t="str">
        <x:v>Phone Authorized Pmt Canon</x:v>
      </x:c>
      <x:c r="H24" s="2" t="n">
        <x:v>1812</x:v>
      </x:c>
      <x:c r="I24" s="29" t="str">
        <x:v>Canon confirmation U1231488 applies 5,375 to invoice 37876845; QBO cash date retained.</x:v>
      </x:c>
    </x:row>
    <x:row r="25" ht="42" customHeight="1">
      <x:c r="A25" s="10" t="str">
        <x:v>canon</x:v>
      </x:c>
      <x:c r="B25" s="13" t="str">
        <x:v>2970.14</x:v>
      </x:c>
      <x:c r="C25" s="17" t="n">
        <x:v>45884</x:v>
      </x:c>
      <x:c r="D25" s="19" t="n">
        <x:v>10750</x:v>
      </x:c>
      <x:c r="E25" s="19" t="n">
        <x:v>10750</x:v>
      </x:c>
      <x:c r="F25" s="10" t="str">
        <x:v>included</x:v>
      </x:c>
      <x:c r="G25" s="10" t="str">
        <x:v>Phone Authorized Pmt Canon</x:v>
      </x:c>
      <x:c r="H25" s="10" t="n">
        <x:v>1948</x:v>
      </x:c>
      <x:c r="I25" s="30" t="str">
        <x:v>Canon confirmation U1241589 applies 5,375 each to invoices 38711933 and 41258022. Count cash once; no duplicate for A/P bill.</x:v>
      </x:c>
    </x:row>
    <x:row r="26" ht="42" customHeight="1">
      <x:c r="A26" s="2" t="str">
        <x:v>canon</x:v>
      </x:c>
      <x:c r="B26" s="14" t="str">
        <x:v>2970.14</x:v>
      </x:c>
      <x:c r="C26" s="18" t="n">
        <x:v>45915</x:v>
      </x:c>
      <x:c r="D26" s="22" t="n">
        <x:v>10750</x:v>
      </x:c>
      <x:c r="E26" s="22" t="n">
        <x:v>0</x:v>
      </x:c>
      <x:c r="F26" s="2" t="str">
        <x:v>held</x:v>
      </x:c>
      <x:c r="G26" s="2" t="str">
        <x:v>Phone Authorized Pmt Canon</x:v>
      </x:c>
      <x:c r="H26" s="2" t="n">
        <x:v>2122</x:v>
      </x:c>
      <x:c r="I26" s="29" t="str">
        <x:v>Cash payment identified; loan installment versus late-fee/service allocation remains unresolved. Entire gross amount is not assumed to reduce the amortizing loan.</x:v>
      </x:c>
    </x:row>
    <x:row r="27" ht="42" customHeight="1">
      <x:c r="A27" s="10" t="str">
        <x:v>canon</x:v>
      </x:c>
      <x:c r="B27" s="13" t="str">
        <x:v>2970.14</x:v>
      </x:c>
      <x:c r="C27" s="17" t="n">
        <x:v>45999</x:v>
      </x:c>
      <x:c r="D27" s="19" t="n">
        <x:v>19350</x:v>
      </x:c>
      <x:c r="E27" s="19" t="n">
        <x:v>0</x:v>
      </x:c>
      <x:c r="F27" s="10" t="str">
        <x:v>held</x:v>
      </x:c>
      <x:c r="G27" s="10" t="str">
        <x:v>Phone Authorized Pmt Canon</x:v>
      </x:c>
      <x:c r="H27" s="10" t="n">
        <x:v>2786</x:v>
      </x:c>
      <x:c r="I27" s="30" t="str">
        <x:v>Cash payment identified; loan installment versus late-fee/service allocation remains unresolved. Entire gross amount is not assumed to reduce the amortizing loan.</x:v>
      </x:c>
    </x:row>
    <x:row r="28" ht="42" customHeight="1">
      <x:c r="A28" s="2" t="str">
        <x:v>rollem</x:v>
      </x:c>
      <x:c r="B28" s="14" t="str">
        <x:v>2970.17</x:v>
      </x:c>
      <x:c r="C28" s="18" t="n">
        <x:v>45574</x:v>
      </x:c>
      <x:c r="D28" s="22" t="n">
        <x:v>2329.65</x:v>
      </x:c>
      <x:c r="E28" s="22" t="n">
        <x:v>2329.65</x:v>
      </x:c>
      <x:c r="F28" s="2" t="str">
        <x:v>included</x:v>
      </x:c>
      <x:c r="G28" s="2" t="str">
        <x:v>Bill Payment (Check)</x:v>
      </x:c>
      <x:c r="H28" s="2" t="n">
        <x:v>84</x:v>
      </x:c>
      <x:c r="I28" s="29" t="str">
        <x:v>Rollem/feeder components 2,329.65 + 399.00 = 2,728.65. The 2,329.65 bill payment 28367 on 10/9/2024 applies to bill 25183, invoice 292883109 dated 3/31/2024, visibly coded 2970.17 Rollem. Actual cash date retained.</x:v>
      </x:c>
    </x:row>
    <x:row r="29" ht="42" customHeight="1">
      <x:c r="A29" s="10" t="str">
        <x:v>rollem</x:v>
      </x:c>
      <x:c r="B29" s="13" t="str">
        <x:v>2970.17</x:v>
      </x:c>
      <x:c r="C29" s="17" t="n">
        <x:v>45574</x:v>
      </x:c>
      <x:c r="D29" s="19" t="n">
        <x:v>399</x:v>
      </x:c>
      <x:c r="E29" s="19" t="n">
        <x:v>399</x:v>
      </x:c>
      <x:c r="F29" s="10" t="str">
        <x:v>included</x:v>
      </x:c>
      <x:c r="G29" s="10" t="str">
        <x:v>ACH - 338721827</x:v>
      </x:c>
      <x:c r="H29" s="10" t="n">
        <x:v>85</x:v>
      </x:c>
      <x:c r="I29" s="30" t="str">
        <x:v>Rollem/feeder components 2,329.65 + 399.00 = 2,728.65. The 2,329.65 bill payment 28367 on 10/9/2024 applies to bill 25183, invoice 292883109 dated 3/31/2024, visibly coded 2970.17 Rollem. Actual cash date retained.</x:v>
      </x:c>
    </x:row>
    <x:row r="30" ht="42" customHeight="1">
      <x:c r="A30" s="2" t="str">
        <x:v>rollem</x:v>
      </x:c>
      <x:c r="B30" s="14" t="str">
        <x:v>2970.17</x:v>
      </x:c>
      <x:c r="C30" s="18" t="n">
        <x:v>45939</x:v>
      </x:c>
      <x:c r="D30" s="22" t="n">
        <x:v>30</x:v>
      </x:c>
      <x:c r="E30" s="22" t="n">
        <x:v>0</x:v>
      </x:c>
      <x:c r="F30" s="2" t="str">
        <x:v>held</x:v>
      </x:c>
      <x:c r="G30" s="2" t="str">
        <x:v>KONICA MINOLTA USA  800-456-6422        NJ</x:v>
      </x:c>
      <x:c r="H30" s="2" t="n">
        <x:v>7693</x:v>
      </x:c>
      <x:c r="I30" s="29" t="str">
        <x:v>Posted to Rollem in QBO, but installment/fee allocation of 30.00 and 8,253.60 is unresolved. Not assumed entirely loan payment.</x:v>
      </x:c>
    </x:row>
    <x:row r="31" ht="42" customHeight="1">
      <x:c r="A31" s="10" t="str">
        <x:v>rollem</x:v>
      </x:c>
      <x:c r="B31" s="13" t="str">
        <x:v>2970.17</x:v>
      </x:c>
      <x:c r="C31" s="17" t="n">
        <x:v>45939</x:v>
      </x:c>
      <x:c r="D31" s="19" t="n">
        <x:v>8253.6</x:v>
      </x:c>
      <x:c r="E31" s="19" t="n">
        <x:v>0</x:v>
      </x:c>
      <x:c r="F31" s="10" t="str">
        <x:v>held</x:v>
      </x:c>
      <x:c r="G31" s="10" t="str">
        <x:v>KONICA MINOLTA USA  800-456-6422        NJ</x:v>
      </x:c>
      <x:c r="H31" s="10" t="n">
        <x:v>7694</x:v>
      </x:c>
      <x:c r="I31" s="30" t="str">
        <x:v>Posted to Rollem in QBO, but installment/fee allocation of 30.00 and 8,253.60 is unresolved. Not assumed entirely loan payment.</x:v>
      </x:c>
    </x:row>
    <x:row r="32" ht="42" customHeight="1">
      <x:c r="A32" s="2" t="str">
        <x:v>highland</x:v>
      </x:c>
      <x:c r="B32" s="14" t="str">
        <x:v>2970.15</x:v>
      </x:c>
      <x:c r="C32" s="18" t="n">
        <x:v>45576</x:v>
      </x:c>
      <x:c r="D32" s="22" t="n">
        <x:v>6050</x:v>
      </x:c>
      <x:c r="E32" s="22" t="n">
        <x:v>6050</x:v>
      </x:c>
      <x:c r="F32" s="2" t="str">
        <x:v>included</x:v>
      </x:c>
      <x:c r="G32" s="2" t="str">
        <x:v>8279</x:v>
      </x:c>
      <x:c r="H32" s="2" t="n">
        <x:v>94</x:v>
      </x:c>
      <x:c r="I32" s="29" t="str">
        <x:v>Contract 20223202 cash settlement; includes catch-up/advance payments. Do not also count A/P bills.</x:v>
      </x:c>
    </x:row>
    <x:row r="33" ht="42" customHeight="1">
      <x:c r="A33" s="10" t="str">
        <x:v>highland</x:v>
      </x:c>
      <x:c r="B33" s="13" t="str">
        <x:v>2970.15</x:v>
      </x:c>
      <x:c r="C33" s="17" t="n">
        <x:v>45604</x:v>
      </x:c>
      <x:c r="D33" s="19" t="n">
        <x:v>6050</x:v>
      </x:c>
      <x:c r="E33" s="19" t="n">
        <x:v>6050</x:v>
      </x:c>
      <x:c r="F33" s="10" t="str">
        <x:v>included</x:v>
      </x:c>
      <x:c r="G33" s="10" t="str">
        <x:v>8323</x:v>
      </x:c>
      <x:c r="H33" s="10" t="n">
        <x:v>291</x:v>
      </x:c>
      <x:c r="I33" s="30" t="str">
        <x:v>Contract 20223202 cash settlement; includes catch-up/advance payments. Do not also count A/P bills.</x:v>
      </x:c>
    </x:row>
    <x:row r="34" ht="42" customHeight="1">
      <x:c r="A34" s="2" t="str">
        <x:v>highland</x:v>
      </x:c>
      <x:c r="B34" s="14" t="str">
        <x:v>2970.15</x:v>
      </x:c>
      <x:c r="C34" s="18" t="n">
        <x:v>45639</x:v>
      </x:c>
      <x:c r="D34" s="22" t="n">
        <x:v>6050</x:v>
      </x:c>
      <x:c r="E34" s="22" t="n">
        <x:v>6050</x:v>
      </x:c>
      <x:c r="F34" s="2" t="str">
        <x:v>included</x:v>
      </x:c>
      <x:c r="G34" s="2" t="str">
        <x:v>8358</x:v>
      </x:c>
      <x:c r="H34" s="2" t="n">
        <x:v>512</x:v>
      </x:c>
      <x:c r="I34" s="29" t="str">
        <x:v>Contract 20223202 cash settlement; includes catch-up/advance payments. Do not also count A/P bills.</x:v>
      </x:c>
    </x:row>
    <x:row r="35" ht="42" customHeight="1">
      <x:c r="A35" s="10" t="str">
        <x:v>highland</x:v>
      </x:c>
      <x:c r="B35" s="13" t="str">
        <x:v>2970.15</x:v>
      </x:c>
      <x:c r="C35" s="17" t="n">
        <x:v>45666</x:v>
      </x:c>
      <x:c r="D35" s="19" t="n">
        <x:v>6050</x:v>
      </x:c>
      <x:c r="E35" s="19" t="n">
        <x:v>6050</x:v>
      </x:c>
      <x:c r="F35" s="10" t="str">
        <x:v>included</x:v>
      </x:c>
      <x:c r="G35" s="10" t="str">
        <x:v>8381</x:v>
      </x:c>
      <x:c r="H35" s="10" t="n">
        <x:v>641</x:v>
      </x:c>
      <x:c r="I35" s="30" t="str">
        <x:v>Contract 20223202 cash settlement; includes catch-up/advance payments. Do not also count A/P bills.</x:v>
      </x:c>
    </x:row>
    <x:row r="36" ht="42" customHeight="1">
      <x:c r="A36" s="2" t="str">
        <x:v>highland</x:v>
      </x:c>
      <x:c r="B36" s="14" t="str">
        <x:v>2970.15</x:v>
      </x:c>
      <x:c r="C36" s="18" t="n">
        <x:v>45701</x:v>
      </x:c>
      <x:c r="D36" s="22" t="n">
        <x:v>6050</x:v>
      </x:c>
      <x:c r="E36" s="22" t="n">
        <x:v>6050</x:v>
      </x:c>
      <x:c r="F36" s="2" t="str">
        <x:v>included</x:v>
      </x:c>
      <x:c r="G36" s="2" t="str">
        <x:v>8413</x:v>
      </x:c>
      <x:c r="H36" s="2" t="n">
        <x:v>842</x:v>
      </x:c>
      <x:c r="I36" s="29" t="str">
        <x:v>Contract 20223202 cash settlement; includes catch-up/advance payments. Do not also count A/P bills.</x:v>
      </x:c>
    </x:row>
    <x:row r="37" ht="42" customHeight="1">
      <x:c r="A37" s="10" t="str">
        <x:v>highland</x:v>
      </x:c>
      <x:c r="B37" s="13" t="str">
        <x:v>2970.15</x:v>
      </x:c>
      <x:c r="C37" s="17" t="n">
        <x:v>45723</x:v>
      </x:c>
      <x:c r="D37" s="19" t="n">
        <x:v>6050</x:v>
      </x:c>
      <x:c r="E37" s="19" t="n">
        <x:v>6050</x:v>
      </x:c>
      <x:c r="F37" s="10" t="str">
        <x:v>included</x:v>
      </x:c>
      <x:c r="G37" s="10" t="str">
        <x:v>8440</x:v>
      </x:c>
      <x:c r="H37" s="10" t="n">
        <x:v>992</x:v>
      </x:c>
      <x:c r="I37" s="30" t="str">
        <x:v>Contract 20223202 cash settlement; includes catch-up/advance payments. Do not also count A/P bills.</x:v>
      </x:c>
    </x:row>
    <x:row r="38" ht="42" customHeight="1">
      <x:c r="A38" s="2" t="str">
        <x:v>highland</x:v>
      </x:c>
      <x:c r="B38" s="14" t="str">
        <x:v>2970.15</x:v>
      </x:c>
      <x:c r="C38" s="18" t="n">
        <x:v>45751</x:v>
      </x:c>
      <x:c r="D38" s="22" t="n">
        <x:v>6050</x:v>
      </x:c>
      <x:c r="E38" s="22" t="n">
        <x:v>6050</x:v>
      </x:c>
      <x:c r="F38" s="2" t="str">
        <x:v>included</x:v>
      </x:c>
      <x:c r="G38" s="2" t="str">
        <x:v>8475</x:v>
      </x:c>
      <x:c r="H38" s="2" t="n">
        <x:v>1170</x:v>
      </x:c>
      <x:c r="I38" s="29" t="str">
        <x:v>Contract 20223202 cash settlement; includes catch-up/advance payments. Do not also count A/P bills.</x:v>
      </x:c>
    </x:row>
    <x:row r="39" ht="42" customHeight="1">
      <x:c r="A39" s="10" t="str">
        <x:v>highland</x:v>
      </x:c>
      <x:c r="B39" s="13" t="str">
        <x:v>2970.15</x:v>
      </x:c>
      <x:c r="C39" s="17" t="n">
        <x:v>45817</x:v>
      </x:c>
      <x:c r="D39" s="19" t="n">
        <x:v>6050</x:v>
      </x:c>
      <x:c r="E39" s="19" t="n">
        <x:v>6050</x:v>
      </x:c>
      <x:c r="F39" s="10" t="str">
        <x:v>included</x:v>
      </x:c>
      <x:c r="G39" s="10" t="str">
        <x:v>8538</x:v>
      </x:c>
      <x:c r="H39" s="10" t="n">
        <x:v>1555</x:v>
      </x:c>
      <x:c r="I39" s="30" t="str">
        <x:v>Contract 20223202 cash settlement; includes catch-up/advance payments. Do not also count A/P bills.</x:v>
      </x:c>
    </x:row>
    <x:row r="40" ht="42" customHeight="1">
      <x:c r="A40" s="2" t="str">
        <x:v>highland</x:v>
      </x:c>
      <x:c r="B40" s="14" t="str">
        <x:v>2970.15</x:v>
      </x:c>
      <x:c r="C40" s="18" t="n">
        <x:v>45854</x:v>
      </x:c>
      <x:c r="D40" s="22" t="n">
        <x:v>9075</x:v>
      </x:c>
      <x:c r="E40" s="22" t="n">
        <x:v>9075</x:v>
      </x:c>
      <x:c r="F40" s="2" t="str">
        <x:v>included</x:v>
      </x:c>
      <x:c r="G40" s="2" t="str">
        <x:v>eft</x:v>
      </x:c>
      <x:c r="H40" s="2" t="n">
        <x:v>1777</x:v>
      </x:c>
      <x:c r="I40" s="29" t="str">
        <x:v>Contract 20223202 cash settlement; includes catch-up/advance payments. Do not also count A/P bills.</x:v>
      </x:c>
    </x:row>
    <x:row r="41" ht="42" customHeight="1">
      <x:c r="A41" s="10" t="str">
        <x:v>highland</x:v>
      </x:c>
      <x:c r="B41" s="13" t="str">
        <x:v>2970.15</x:v>
      </x:c>
      <x:c r="C41" s="17" t="n">
        <x:v>45884</x:v>
      </x:c>
      <x:c r="D41" s="19" t="n">
        <x:v>9075</x:v>
      </x:c>
      <x:c r="E41" s="19" t="n">
        <x:v>9075</x:v>
      </x:c>
      <x:c r="F41" s="10" t="str">
        <x:v>included</x:v>
      </x:c>
      <x:c r="G41" s="10" t="str">
        <x:v>8581</x:v>
      </x:c>
      <x:c r="H41" s="10" t="n">
        <x:v>1944</x:v>
      </x:c>
      <x:c r="I41" s="30" t="str">
        <x:v>Contract 20223202 cash settlement; includes catch-up/advance payments. Do not also count A/P bills.</x:v>
      </x:c>
    </x:row>
    <x:row r="42" ht="42" customHeight="1">
      <x:c r="A42" s="2" t="str">
        <x:v>highland</x:v>
      </x:c>
      <x:c r="B42" s="14" t="str">
        <x:v>2970.15</x:v>
      </x:c>
      <x:c r="C42" s="18" t="n">
        <x:v>45945</x:v>
      </x:c>
      <x:c r="D42" s="22" t="n">
        <x:v>12100</x:v>
      </x:c>
      <x:c r="E42" s="22" t="n">
        <x:v>12100</x:v>
      </x:c>
      <x:c r="F42" s="2" t="str">
        <x:v>included</x:v>
      </x:c>
      <x:c r="G42" s="2" t="str">
        <x:v>8654</x:v>
      </x:c>
      <x:c r="H42" s="2" t="n">
        <x:v>2334</x:v>
      </x:c>
      <x:c r="I42" s="29" t="str">
        <x:v>Contract 20223202 cash settlement; includes catch-up/advance payments. Do not also count A/P bills.</x:v>
      </x:c>
    </x:row>
    <x:row r="43" ht="42" customHeight="1">
      <x:c r="A43" s="10" t="str">
        <x:v>highland</x:v>
      </x:c>
      <x:c r="B43" s="13" t="str">
        <x:v>2970.15</x:v>
      </x:c>
      <x:c r="C43" s="17" t="n">
        <x:v>46022</x:v>
      </x:c>
      <x:c r="D43" s="19" t="n">
        <x:v>6050</x:v>
      </x:c>
      <x:c r="E43" s="19" t="n">
        <x:v>6050</x:v>
      </x:c>
      <x:c r="F43" s="10" t="str">
        <x:v>included</x:v>
      </x:c>
      <x:c r="G43" s="10" t="str">
        <x:v>Electronic Withdrawal Highland Capital</x:v>
      </x:c>
      <x:c r="H43" s="10" t="n">
        <x:v>2946</x:v>
      </x:c>
      <x:c r="I43" s="30" t="str">
        <x:v>Contract 20223202 cash settlement; includes catch-up/advance payments. Do not also count A/P bills.</x:v>
      </x:c>
    </x:row>
    <x:row r="44" ht="42" customHeight="1">
      <x:c r="A44" s="2" t="str">
        <x:v>meda</x:v>
      </x:c>
      <x:c r="B44" s="14" t="str">
        <x:v>2970.21</x:v>
      </x:c>
      <x:c r="C44" s="18" t="n">
        <x:v>45580</x:v>
      </x:c>
      <x:c r="D44" s="22" t="n">
        <x:v>1548.96</x:v>
      </x:c>
      <x:c r="E44" s="22" t="n">
        <x:v>1548.96</x:v>
      </x:c>
      <x:c r="F44" s="2" t="str">
        <x:v>included</x:v>
      </x:c>
      <x:c r="G44" s="2" t="str">
        <x:v>Electronic Withdrawal Meda</x:v>
      </x:c>
      <x:c r="H44" s="2" t="n">
        <x:v>121</x:v>
      </x:c>
      <x:c r="I44" s="29" t="str">
        <x:v>MEDA withdrawal; full installment, interest included in schedule calculation.</x:v>
      </x:c>
    </x:row>
    <x:row r="45" ht="42" customHeight="1">
      <x:c r="A45" s="10" t="str">
        <x:v>meda</x:v>
      </x:c>
      <x:c r="B45" s="13" t="str">
        <x:v>2970.21</x:v>
      </x:c>
      <x:c r="C45" s="17" t="n">
        <x:v>45611</x:v>
      </x:c>
      <x:c r="D45" s="19" t="n">
        <x:v>1548.96</x:v>
      </x:c>
      <x:c r="E45" s="19" t="n">
        <x:v>1548.96</x:v>
      </x:c>
      <x:c r="F45" s="10" t="str">
        <x:v>included</x:v>
      </x:c>
      <x:c r="G45" s="10" t="str">
        <x:v>Electronic Withdrawal Meda</x:v>
      </x:c>
      <x:c r="H45" s="10" t="n">
        <x:v>349</x:v>
      </x:c>
      <x:c r="I45" s="30" t="str">
        <x:v>MEDA withdrawal; full installment, interest included in schedule calculation.</x:v>
      </x:c>
    </x:row>
    <x:row r="46" ht="42" customHeight="1">
      <x:c r="A46" s="2" t="str">
        <x:v>meda</x:v>
      </x:c>
      <x:c r="B46" s="14" t="str">
        <x:v>2970.21</x:v>
      </x:c>
      <x:c r="C46" s="18" t="n">
        <x:v>45642</x:v>
      </x:c>
      <x:c r="D46" s="22" t="n">
        <x:v>1548.96</x:v>
      </x:c>
      <x:c r="E46" s="22" t="n">
        <x:v>1548.96</x:v>
      </x:c>
      <x:c r="F46" s="2" t="str">
        <x:v>included</x:v>
      </x:c>
      <x:c r="G46" s="2" t="str">
        <x:v>Electronic Withdrawal Meda</x:v>
      </x:c>
      <x:c r="H46" s="2" t="n">
        <x:v>522</x:v>
      </x:c>
      <x:c r="I46" s="29" t="str">
        <x:v>MEDA withdrawal; full installment, interest included in schedule calculation.</x:v>
      </x:c>
    </x:row>
    <x:row r="47" ht="42" customHeight="1">
      <x:c r="A47" s="10" t="str">
        <x:v>meda</x:v>
      </x:c>
      <x:c r="B47" s="13" t="str">
        <x:v>2970.21</x:v>
      </x:c>
      <x:c r="C47" s="17" t="n">
        <x:v>45672</x:v>
      </x:c>
      <x:c r="D47" s="19" t="n">
        <x:v>1548.96</x:v>
      </x:c>
      <x:c r="E47" s="19" t="n">
        <x:v>1548.96</x:v>
      </x:c>
      <x:c r="F47" s="10" t="str">
        <x:v>included</x:v>
      </x:c>
      <x:c r="G47" s="10" t="str">
        <x:v>Electronic Withdrawal Meda</x:v>
      </x:c>
      <x:c r="H47" s="10" t="n">
        <x:v>677</x:v>
      </x:c>
      <x:c r="I47" s="30" t="str">
        <x:v>MEDA withdrawal; full installment, interest included in schedule calculation.</x:v>
      </x:c>
    </x:row>
    <x:row r="48" ht="42" customHeight="1">
      <x:c r="A48" s="2" t="str">
        <x:v>meda</x:v>
      </x:c>
      <x:c r="B48" s="14" t="str">
        <x:v>2970.21</x:v>
      </x:c>
      <x:c r="C48" s="18" t="n">
        <x:v>45706</x:v>
      </x:c>
      <x:c r="D48" s="22" t="n">
        <x:v>1548.96</x:v>
      </x:c>
      <x:c r="E48" s="22" t="n">
        <x:v>1548.96</x:v>
      </x:c>
      <x:c r="F48" s="2" t="str">
        <x:v>included</x:v>
      </x:c>
      <x:c r="G48" s="2" t="str">
        <x:v>Electronic Withdrawal Meda</x:v>
      </x:c>
      <x:c r="H48" s="2" t="n">
        <x:v>874</x:v>
      </x:c>
      <x:c r="I48" s="29" t="str">
        <x:v>MEDA withdrawal; full installment, interest included in schedule calculation.</x:v>
      </x:c>
    </x:row>
    <x:row r="49" ht="42" customHeight="1">
      <x:c r="A49" s="10" t="str">
        <x:v>meda</x:v>
      </x:c>
      <x:c r="B49" s="13" t="str">
        <x:v>2970.21</x:v>
      </x:c>
      <x:c r="C49" s="17" t="n">
        <x:v>45733</x:v>
      </x:c>
      <x:c r="D49" s="19" t="n">
        <x:v>1548.96</x:v>
      </x:c>
      <x:c r="E49" s="19" t="n">
        <x:v>1548.96</x:v>
      </x:c>
      <x:c r="F49" s="10" t="str">
        <x:v>included</x:v>
      </x:c>
      <x:c r="G49" s="10" t="str">
        <x:v>Electronic Withdrawal Meda</x:v>
      </x:c>
      <x:c r="H49" s="10" t="n">
        <x:v>1056</x:v>
      </x:c>
      <x:c r="I49" s="30" t="str">
        <x:v>MEDA withdrawal; full installment, interest included in schedule calculation.</x:v>
      </x:c>
    </x:row>
    <x:row r="50" ht="42" customHeight="1">
      <x:c r="A50" s="2" t="str">
        <x:v>meda</x:v>
      </x:c>
      <x:c r="B50" s="14" t="str">
        <x:v>2970.21</x:v>
      </x:c>
      <x:c r="C50" s="18" t="n">
        <x:v>45762</x:v>
      </x:c>
      <x:c r="D50" s="22" t="n">
        <x:v>1548.96</x:v>
      </x:c>
      <x:c r="E50" s="22" t="n">
        <x:v>1548.96</x:v>
      </x:c>
      <x:c r="F50" s="2" t="str">
        <x:v>included</x:v>
      </x:c>
      <x:c r="G50" s="2" t="str">
        <x:v>Electronic Withdrawal 04/15 Meda</x:v>
      </x:c>
      <x:c r="H50" s="2" t="n">
        <x:v>1232</x:v>
      </x:c>
      <x:c r="I50" s="29" t="str">
        <x:v>MEDA withdrawal; full installment, interest included in schedule calculation.</x:v>
      </x:c>
    </x:row>
    <x:row r="51" ht="42" customHeight="1">
      <x:c r="A51" s="10" t="str">
        <x:v>meda</x:v>
      </x:c>
      <x:c r="B51" s="13" t="str">
        <x:v>2970.21</x:v>
      </x:c>
      <x:c r="C51" s="17" t="n">
        <x:v>45792</x:v>
      </x:c>
      <x:c r="D51" s="19" t="n">
        <x:v>1548.96</x:v>
      </x:c>
      <x:c r="E51" s="19" t="n">
        <x:v>1548.96</x:v>
      </x:c>
      <x:c r="F51" s="10" t="str">
        <x:v>included</x:v>
      </x:c>
      <x:c r="G51" s="10" t="str">
        <x:v>Electronic Withdrawal Meda</x:v>
      </x:c>
      <x:c r="H51" s="10" t="n">
        <x:v>1401</x:v>
      </x:c>
      <x:c r="I51" s="30" t="str">
        <x:v>MEDA withdrawal; full installment, interest included in schedule calculation.</x:v>
      </x:c>
    </x:row>
    <x:row r="52" ht="42" customHeight="1">
      <x:c r="A52" s="2" t="str">
        <x:v>meda</x:v>
      </x:c>
      <x:c r="B52" s="14" t="str">
        <x:v>2970.21</x:v>
      </x:c>
      <x:c r="C52" s="18" t="n">
        <x:v>45824</x:v>
      </x:c>
      <x:c r="D52" s="22" t="n">
        <x:v>1548.96</x:v>
      </x:c>
      <x:c r="E52" s="22" t="n">
        <x:v>1548.96</x:v>
      </x:c>
      <x:c r="F52" s="2" t="str">
        <x:v>included</x:v>
      </x:c>
      <x:c r="G52" s="2" t="str">
        <x:v>Electronic Withdrawal Meda</x:v>
      </x:c>
      <x:c r="H52" s="2" t="n">
        <x:v>1605</x:v>
      </x:c>
      <x:c r="I52" s="29" t="str">
        <x:v>MEDA withdrawal; full installment, interest included in schedule calculation.</x:v>
      </x:c>
    </x:row>
    <x:row r="53" ht="42" customHeight="1">
      <x:c r="A53" s="10" t="str">
        <x:v>meda</x:v>
      </x:c>
      <x:c r="B53" s="13" t="str">
        <x:v>2970.21</x:v>
      </x:c>
      <x:c r="C53" s="17" t="n">
        <x:v>45853</x:v>
      </x:c>
      <x:c r="D53" s="19" t="n">
        <x:v>1548.96</x:v>
      </x:c>
      <x:c r="E53" s="19" t="n">
        <x:v>1548.96</x:v>
      </x:c>
      <x:c r="F53" s="10" t="str">
        <x:v>included</x:v>
      </x:c>
      <x:c r="G53" s="10" t="str">
        <x:v>Electronic Withdrawal Meda</x:v>
      </x:c>
      <x:c r="H53" s="10" t="n">
        <x:v>1776</x:v>
      </x:c>
      <x:c r="I53" s="30" t="str">
        <x:v>MEDA withdrawal; full installment, interest included in schedule calculation.</x:v>
      </x:c>
    </x:row>
    <x:row r="54" ht="42" customHeight="1">
      <x:c r="A54" s="2" t="str">
        <x:v>meda</x:v>
      </x:c>
      <x:c r="B54" s="14" t="str">
        <x:v>2970.21</x:v>
      </x:c>
      <x:c r="C54" s="18" t="n">
        <x:v>45884</x:v>
      </x:c>
      <x:c r="D54" s="22" t="n">
        <x:v>1548.96</x:v>
      </x:c>
      <x:c r="E54" s="22" t="n">
        <x:v>1548.96</x:v>
      </x:c>
      <x:c r="F54" s="2" t="str">
        <x:v>included</x:v>
      </x:c>
      <x:c r="G54" s="2" t="str">
        <x:v>Electronic Withdrawal Meda</x:v>
      </x:c>
      <x:c r="H54" s="2" t="n">
        <x:v>1949</x:v>
      </x:c>
      <x:c r="I54" s="29" t="str">
        <x:v>MEDA withdrawal; full installment, interest included in schedule calculation.</x:v>
      </x:c>
    </x:row>
    <x:row r="55" ht="42" customHeight="1">
      <x:c r="A55" s="10" t="str">
        <x:v>meda</x:v>
      </x:c>
      <x:c r="B55" s="13" t="str">
        <x:v>2970.21</x:v>
      </x:c>
      <x:c r="C55" s="17" t="n">
        <x:v>45915</x:v>
      </x:c>
      <x:c r="D55" s="19" t="n">
        <x:v>1548.96</x:v>
      </x:c>
      <x:c r="E55" s="19" t="n">
        <x:v>1548.96</x:v>
      </x:c>
      <x:c r="F55" s="10" t="str">
        <x:v>included</x:v>
      </x:c>
      <x:c r="G55" s="10" t="str">
        <x:v>Electronic Withdrawal Meda</x:v>
      </x:c>
      <x:c r="H55" s="10" t="n">
        <x:v>2120</x:v>
      </x:c>
      <x:c r="I55" s="30" t="str">
        <x:v>MEDA withdrawal; full installment, interest included in schedule calculation.</x:v>
      </x:c>
    </x:row>
    <x:row r="56" ht="42" customHeight="1">
      <x:c r="A56" s="2" t="str">
        <x:v>meda</x:v>
      </x:c>
      <x:c r="B56" s="14" t="str">
        <x:v>2970.21</x:v>
      </x:c>
      <x:c r="C56" s="18" t="n">
        <x:v>45945</x:v>
      </x:c>
      <x:c r="D56" s="22" t="n">
        <x:v>1548.96</x:v>
      </x:c>
      <x:c r="E56" s="22" t="n">
        <x:v>1548.96</x:v>
      </x:c>
      <x:c r="F56" s="2" t="str">
        <x:v>included</x:v>
      </x:c>
      <x:c r="G56" s="2" t="str">
        <x:v>Electronic Withdrawal Meda</x:v>
      </x:c>
      <x:c r="H56" s="2" t="n">
        <x:v>2344</x:v>
      </x:c>
      <x:c r="I56" s="29" t="str">
        <x:v>MEDA withdrawal; full installment, interest included in schedule calculation.</x:v>
      </x:c>
    </x:row>
    <x:row r="57" ht="42" customHeight="1">
      <x:c r="A57" s="10" t="str">
        <x:v>meda</x:v>
      </x:c>
      <x:c r="B57" s="13" t="str">
        <x:v>2970.21</x:v>
      </x:c>
      <x:c r="C57" s="17" t="n">
        <x:v>45978</x:v>
      </x:c>
      <x:c r="D57" s="19" t="n">
        <x:v>1548.96</x:v>
      </x:c>
      <x:c r="E57" s="19" t="n">
        <x:v>1548.96</x:v>
      </x:c>
      <x:c r="F57" s="10" t="str">
        <x:v>included</x:v>
      </x:c>
      <x:c r="G57" s="10" t="str">
        <x:v>Electronic Withdrawal Meda</x:v>
      </x:c>
      <x:c r="H57" s="10" t="n">
        <x:v>2632</x:v>
      </x:c>
      <x:c r="I57" s="30" t="str">
        <x:v>MEDA withdrawal; full installment, interest included in schedule calculation.</x:v>
      </x:c>
    </x:row>
    <x:row r="58" ht="42" customHeight="1">
      <x:c r="A58" s="2" t="str">
        <x:v>meda</x:v>
      </x:c>
      <x:c r="B58" s="14" t="str">
        <x:v>2970.21</x:v>
      </x:c>
      <x:c r="C58" s="18" t="n">
        <x:v>46006</x:v>
      </x:c>
      <x:c r="D58" s="22" t="n">
        <x:v>1548.96</x:v>
      </x:c>
      <x:c r="E58" s="22" t="n">
        <x:v>1548.96</x:v>
      </x:c>
      <x:c r="F58" s="2" t="str">
        <x:v>included</x:v>
      </x:c>
      <x:c r="G58" s="2" t="str">
        <x:v>Electronic Withdrawal Meda</x:v>
      </x:c>
      <x:c r="H58" s="2" t="n">
        <x:v>2849</x:v>
      </x:c>
      <x:c r="I58" s="29" t="str">
        <x:v>MEDA withdrawal; full installment, interest included in schedule calculation.</x:v>
      </x:c>
    </x:row>
    <x:row r="59" ht="42" customHeight="1">
      <x:c r="A59" s="10" t="str">
        <x:v>sba</x:v>
      </x:c>
      <x:c r="B59" s="13" t="str">
        <x:v>2970.12</x:v>
      </x:c>
      <x:c r="C59" s="17" t="n">
        <x:v>45625</x:v>
      </x:c>
      <x:c r="D59" s="19" t="n">
        <x:v>731</x:v>
      </x:c>
      <x:c r="E59" s="19" t="n">
        <x:v>731</x:v>
      </x:c>
      <x:c r="F59" s="10" t="str">
        <x:v>included</x:v>
      </x:c>
      <x:c r="G59" s="10" t="str">
        <x:v>8355</x:v>
      </x:c>
      <x:c r="H59" s="10" t="n">
        <x:v>421</x:v>
      </x:c>
      <x:c r="I59" s="30" t="str">
        <x:v>SBA loan 6724567807 payment; grouped by actual QBO cash date.</x:v>
      </x:c>
    </x:row>
    <x:row r="60" ht="42" customHeight="1">
      <x:c r="A60" s="2" t="str">
        <x:v>sba</x:v>
      </x:c>
      <x:c r="B60" s="14" t="str">
        <x:v>2970.12</x:v>
      </x:c>
      <x:c r="C60" s="18" t="n">
        <x:v>45628</x:v>
      </x:c>
      <x:c r="D60" s="22" t="n">
        <x:v>731</x:v>
      </x:c>
      <x:c r="E60" s="22" t="n">
        <x:v>731</x:v>
      </x:c>
      <x:c r="F60" s="2" t="str">
        <x:v>included</x:v>
      </x:c>
      <x:c r="G60" s="2" t="str">
        <x:v>8356</x:v>
      </x:c>
      <x:c r="H60" s="2" t="n">
        <x:v>430</x:v>
      </x:c>
      <x:c r="I60" s="29" t="str">
        <x:v>SBA loan 6724567807 payment; grouped by actual QBO cash date.</x:v>
      </x:c>
    </x:row>
    <x:row r="61" ht="42" customHeight="1">
      <x:c r="A61" s="10" t="str">
        <x:v>sba</x:v>
      </x:c>
      <x:c r="B61" s="13" t="str">
        <x:v>2970.12</x:v>
      </x:c>
      <x:c r="C61" s="17" t="n">
        <x:v>45660</x:v>
      </x:c>
      <x:c r="D61" s="19" t="n">
        <x:v>731</x:v>
      </x:c>
      <x:c r="E61" s="19" t="n">
        <x:v>731</x:v>
      </x:c>
      <x:c r="F61" s="10" t="str">
        <x:v>included</x:v>
      </x:c>
      <x:c r="G61" s="10" t="str">
        <x:v>8376</x:v>
      </x:c>
      <x:c r="H61" s="10" t="n">
        <x:v>614</x:v>
      </x:c>
      <x:c r="I61" s="30" t="str">
        <x:v>SBA loan 6724567807 payment; grouped by actual QBO cash date.</x:v>
      </x:c>
    </x:row>
    <x:row r="62" ht="42" customHeight="1">
      <x:c r="A62" s="2" t="str">
        <x:v>sba</x:v>
      </x:c>
      <x:c r="B62" s="14" t="str">
        <x:v>2970.12</x:v>
      </x:c>
      <x:c r="C62" s="18" t="n">
        <x:v>45688</x:v>
      </x:c>
      <x:c r="D62" s="22" t="n">
        <x:v>731</x:v>
      </x:c>
      <x:c r="E62" s="22" t="n">
        <x:v>731</x:v>
      </x:c>
      <x:c r="F62" s="2" t="str">
        <x:v>included</x:v>
      </x:c>
      <x:c r="G62" s="2" t="str">
        <x:v>8398</x:v>
      </x:c>
      <x:c r="H62" s="2" t="n">
        <x:v>760</x:v>
      </x:c>
      <x:c r="I62" s="29" t="str">
        <x:v>SBA loan 6724567807 payment; grouped by actual QBO cash date.</x:v>
      </x:c>
    </x:row>
    <x:row r="63" ht="42" customHeight="1">
      <x:c r="A63" s="10" t="str">
        <x:v>sba</x:v>
      </x:c>
      <x:c r="B63" s="13" t="str">
        <x:v>2970.12</x:v>
      </x:c>
      <x:c r="C63" s="17" t="n">
        <x:v>45716</x:v>
      </x:c>
      <x:c r="D63" s="19" t="n">
        <x:v>731</x:v>
      </x:c>
      <x:c r="E63" s="19" t="n">
        <x:v>731</x:v>
      </x:c>
      <x:c r="F63" s="10" t="str">
        <x:v>included</x:v>
      </x:c>
      <x:c r="G63" s="10" t="str">
        <x:v>8433</x:v>
      </x:c>
      <x:c r="H63" s="10" t="n">
        <x:v>940</x:v>
      </x:c>
      <x:c r="I63" s="30" t="str">
        <x:v>SBA loan 6724567807 payment; grouped by actual QBO cash date.</x:v>
      </x:c>
    </x:row>
    <x:row r="64" ht="42" customHeight="1">
      <x:c r="A64" s="2" t="str">
        <x:v>sba</x:v>
      </x:c>
      <x:c r="B64" s="14" t="str">
        <x:v>2970.12</x:v>
      </x:c>
      <x:c r="C64" s="18" t="n">
        <x:v>45751</x:v>
      </x:c>
      <x:c r="D64" s="22" t="n">
        <x:v>731</x:v>
      </x:c>
      <x:c r="E64" s="22" t="n">
        <x:v>731</x:v>
      </x:c>
      <x:c r="F64" s="2" t="str">
        <x:v>included</x:v>
      </x:c>
      <x:c r="G64" s="2" t="str">
        <x:v>8474</x:v>
      </x:c>
      <x:c r="H64" s="2" t="n">
        <x:v>1169</x:v>
      </x:c>
      <x:c r="I64" s="29" t="str">
        <x:v>SBA loan 6724567807 payment; grouped by actual QBO cash date.</x:v>
      </x:c>
    </x:row>
    <x:row r="65" ht="42" customHeight="1">
      <x:c r="A65" s="10" t="str">
        <x:v>sba</x:v>
      </x:c>
      <x:c r="B65" s="13" t="str">
        <x:v>2970.12</x:v>
      </x:c>
      <x:c r="C65" s="17" t="n">
        <x:v>45778</x:v>
      </x:c>
      <x:c r="D65" s="19" t="n">
        <x:v>731</x:v>
      </x:c>
      <x:c r="E65" s="19" t="n">
        <x:v>731</x:v>
      </x:c>
      <x:c r="F65" s="10" t="str">
        <x:v>included</x:v>
      </x:c>
      <x:c r="G65" s="10" t="str">
        <x:v>8497</x:v>
      </x:c>
      <x:c r="H65" s="10" t="n">
        <x:v>1315</x:v>
      </x:c>
      <x:c r="I65" s="30" t="str">
        <x:v>SBA loan 6724567807 payment; grouped by actual QBO cash date.</x:v>
      </x:c>
    </x:row>
    <x:row r="66" ht="42" customHeight="1">
      <x:c r="A66" s="2" t="str">
        <x:v>sba</x:v>
      </x:c>
      <x:c r="B66" s="14" t="str">
        <x:v>2970.12</x:v>
      </x:c>
      <x:c r="C66" s="18" t="n">
        <x:v>45845</x:v>
      </x:c>
      <x:c r="D66" s="22" t="n">
        <x:v>731</x:v>
      </x:c>
      <x:c r="E66" s="22" t="n">
        <x:v>731</x:v>
      </x:c>
      <x:c r="F66" s="2" t="str">
        <x:v>included</x:v>
      </x:c>
      <x:c r="G66" s="2" t="str">
        <x:v>8559</x:v>
      </x:c>
      <x:c r="H66" s="2" t="n">
        <x:v>1724</x:v>
      </x:c>
      <x:c r="I66" s="29" t="str">
        <x:v>SBA loan 6724567807 payment; grouped by actual QBO cash date.</x:v>
      </x:c>
    </x:row>
    <x:row r="67" ht="42" customHeight="1">
      <x:c r="A67" s="10" t="str">
        <x:v>sba</x:v>
      </x:c>
      <x:c r="B67" s="13" t="str">
        <x:v>2970.12</x:v>
      </x:c>
      <x:c r="C67" s="17" t="n">
        <x:v>45981</x:v>
      </x:c>
      <x:c r="D67" s="19" t="n">
        <x:v>2193</x:v>
      </x:c>
      <x:c r="E67" s="19" t="n">
        <x:v>2193</x:v>
      </x:c>
      <x:c r="F67" s="10" t="str">
        <x:v>included</x:v>
      </x:c>
      <x:c r="G67" s="10" t="str">
        <x:v>Bill Payment (Check)</x:v>
      </x:c>
      <x:c r="H67" s="10" t="n">
        <x:v>2658</x:v>
      </x:c>
      <x:c r="I67" s="30" t="str">
        <x:v>SBA loan 6724567807 payment; grouped by actual QBO cash date.</x:v>
      </x:c>
    </x:row>
    <x:row r="68" ht="42" customHeight="1">
      <x:c r="A68" s="2" t="str">
        <x:v>neon</x:v>
      </x:c>
      <x:c r="B68" s="14" t="str">
        <x:v>2970.18</x:v>
      </x:c>
      <x:c r="C68" s="18" t="n">
        <x:v>45569</x:v>
      </x:c>
      <x:c r="D68" s="22" t="n">
        <x:v>2302.93</x:v>
      </x:c>
      <x:c r="E68" s="22" t="n">
        <x:v>2302.93</x:v>
      </x:c>
      <x:c r="F68" s="2" t="str">
        <x:v>included</x:v>
      </x:c>
      <x:c r="G68" s="2" t="str">
        <x:v>Electronic Withdrawal Northsideeconomi</x:v>
      </x:c>
      <x:c r="H68" s="2" t="n">
        <x:v>49</x:v>
      </x:c>
      <x:c r="I68" s="29" t="str">
        <x:v>Old NEON/MIGF 30200 installment; exclude smaller NEON020 withdrawals.</x:v>
      </x:c>
    </x:row>
    <x:row r="69" ht="42" customHeight="1">
      <x:c r="A69" s="10" t="str">
        <x:v>neon</x:v>
      </x:c>
      <x:c r="B69" s="13" t="str">
        <x:v>2970.18</x:v>
      </x:c>
      <x:c r="C69" s="17" t="n">
        <x:v>45601</x:v>
      </x:c>
      <x:c r="D69" s="19" t="n">
        <x:v>2302.93</x:v>
      </x:c>
      <x:c r="E69" s="19" t="n">
        <x:v>2302.93</x:v>
      </x:c>
      <x:c r="F69" s="10" t="str">
        <x:v>included</x:v>
      </x:c>
      <x:c r="G69" s="10" t="str">
        <x:v>Electronic Withdrawal Northsideeconomi</x:v>
      </x:c>
      <x:c r="H69" s="10" t="n">
        <x:v>261</x:v>
      </x:c>
      <x:c r="I69" s="30" t="str">
        <x:v>Old NEON/MIGF 30200 installment; exclude smaller NEON020 withdrawals.</x:v>
      </x:c>
    </x:row>
    <x:row r="70" ht="42" customHeight="1">
      <x:c r="A70" s="2" t="str">
        <x:v>neon</x:v>
      </x:c>
      <x:c r="B70" s="14" t="str">
        <x:v>2970.18</x:v>
      </x:c>
      <x:c r="C70" s="18" t="n">
        <x:v>45628</x:v>
      </x:c>
      <x:c r="D70" s="22" t="n">
        <x:v>2302.93</x:v>
      </x:c>
      <x:c r="E70" s="22" t="n">
        <x:v>2302.93</x:v>
      </x:c>
      <x:c r="F70" s="2" t="str">
        <x:v>included</x:v>
      </x:c>
      <x:c r="G70" s="2" t="str">
        <x:v>Electronic Withdrawal Northsideeconomi</x:v>
      </x:c>
      <x:c r="H70" s="2" t="n">
        <x:v>429</x:v>
      </x:c>
      <x:c r="I70" s="29" t="str">
        <x:v>Old NEON/MIGF 30200 installment; exclude smaller NEON020 withdrawals.</x:v>
      </x:c>
    </x:row>
    <x:row r="71" ht="42" customHeight="1">
      <x:c r="A71" s="10" t="str">
        <x:v>neon</x:v>
      </x:c>
      <x:c r="B71" s="13" t="str">
        <x:v>2970.18</x:v>
      </x:c>
      <x:c r="C71" s="17" t="n">
        <x:v>45660</x:v>
      </x:c>
      <x:c r="D71" s="19" t="n">
        <x:v>2302.93</x:v>
      </x:c>
      <x:c r="E71" s="19" t="n">
        <x:v>2302.93</x:v>
      </x:c>
      <x:c r="F71" s="10" t="str">
        <x:v>included</x:v>
      </x:c>
      <x:c r="G71" s="10" t="str">
        <x:v>Electronic Withdrawal Northsideeconomi</x:v>
      </x:c>
      <x:c r="H71" s="10" t="n">
        <x:v>619</x:v>
      </x:c>
      <x:c r="I71" s="30" t="str">
        <x:v>Old NEON/MIGF 30200 installment; exclude smaller NEON020 withdrawals.</x:v>
      </x:c>
    </x:row>
    <x:row r="72" ht="42" customHeight="1">
      <x:c r="A72" s="2" t="str">
        <x:v>neon</x:v>
      </x:c>
      <x:c r="B72" s="14" t="str">
        <x:v>2970.18</x:v>
      </x:c>
      <x:c r="C72" s="18" t="n">
        <x:v>45691</x:v>
      </x:c>
      <x:c r="D72" s="22" t="n">
        <x:v>2302.93</x:v>
      </x:c>
      <x:c r="E72" s="22" t="n">
        <x:v>2302.93</x:v>
      </x:c>
      <x:c r="F72" s="2" t="str">
        <x:v>included</x:v>
      </x:c>
      <x:c r="G72" s="2" t="str">
        <x:v>Electronic Withdrawal Northsideeconomi</x:v>
      </x:c>
      <x:c r="H72" s="2" t="n">
        <x:v>784</x:v>
      </x:c>
      <x:c r="I72" s="29" t="str">
        <x:v>Old NEON/MIGF 30200 installment; exclude smaller NEON020 withdrawals.</x:v>
      </x:c>
    </x:row>
    <x:row r="73" ht="42" customHeight="1">
      <x:c r="A73" s="10" t="str">
        <x:v>neon</x:v>
      </x:c>
      <x:c r="B73" s="13" t="str">
        <x:v>2970.18</x:v>
      </x:c>
      <x:c r="C73" s="17" t="n">
        <x:v>45720</x:v>
      </x:c>
      <x:c r="D73" s="19" t="n">
        <x:v>2302.93</x:v>
      </x:c>
      <x:c r="E73" s="19" t="n">
        <x:v>2302.93</x:v>
      </x:c>
      <x:c r="F73" s="10" t="str">
        <x:v>included</x:v>
      </x:c>
      <x:c r="G73" s="10" t="str">
        <x:v>Electronic Withdrawal Northsideeconomi</x:v>
      </x:c>
      <x:c r="H73" s="10" t="n">
        <x:v>971</x:v>
      </x:c>
      <x:c r="I73" s="30" t="str">
        <x:v>Old NEON/MIGF 30200 installment; exclude smaller NEON020 withdrawals.</x:v>
      </x:c>
    </x:row>
    <x:row r="74" ht="42" customHeight="1">
      <x:c r="A74" s="2" t="str">
        <x:v>neon</x:v>
      </x:c>
      <x:c r="B74" s="14" t="str">
        <x:v>2970.18</x:v>
      </x:c>
      <x:c r="C74" s="18" t="n">
        <x:v>45748</x:v>
      </x:c>
      <x:c r="D74" s="22" t="n">
        <x:v>2302.93</x:v>
      </x:c>
      <x:c r="E74" s="22" t="n">
        <x:v>2302.93</x:v>
      </x:c>
      <x:c r="F74" s="2" t="str">
        <x:v>included</x:v>
      </x:c>
      <x:c r="G74" s="2" t="str">
        <x:v>Electronic Withdrawal 04/01 Northsideeconomi</x:v>
      </x:c>
      <x:c r="H74" s="2" t="n">
        <x:v>1141</x:v>
      </x:c>
      <x:c r="I74" s="29" t="str">
        <x:v>Old NEON/MIGF 30200 installment; exclude smaller NEON020 withdrawals.</x:v>
      </x:c>
    </x:row>
    <x:row r="75" ht="42" customHeight="1">
      <x:c r="A75" s="10" t="str">
        <x:v>neon</x:v>
      </x:c>
      <x:c r="B75" s="13" t="str">
        <x:v>2970.18</x:v>
      </x:c>
      <x:c r="C75" s="17" t="n">
        <x:v>45779</x:v>
      </x:c>
      <x:c r="D75" s="19" t="n">
        <x:v>2302.93</x:v>
      </x:c>
      <x:c r="E75" s="19" t="n">
        <x:v>2302.93</x:v>
      </x:c>
      <x:c r="F75" s="10" t="str">
        <x:v>included</x:v>
      </x:c>
      <x:c r="G75" s="10" t="str">
        <x:v>Electronic Withdrawal Northsideeconomi</x:v>
      </x:c>
      <x:c r="H75" s="10" t="n">
        <x:v>1337</x:v>
      </x:c>
      <x:c r="I75" s="30" t="str">
        <x:v>Old NEON/MIGF 30200 installment; exclude smaller NEON020 withdrawals.</x:v>
      </x:c>
    </x:row>
    <x:row r="76" ht="42" customHeight="1">
      <x:c r="A76" s="2" t="str">
        <x:v>neon</x:v>
      </x:c>
      <x:c r="B76" s="14" t="str">
        <x:v>2970.18</x:v>
      </x:c>
      <x:c r="C76" s="18" t="n">
        <x:v>45810</x:v>
      </x:c>
      <x:c r="D76" s="22" t="n">
        <x:v>2302.93</x:v>
      </x:c>
      <x:c r="E76" s="22" t="n">
        <x:v>2302.93</x:v>
      </x:c>
      <x:c r="F76" s="2" t="str">
        <x:v>included</x:v>
      </x:c>
      <x:c r="G76" s="2" t="str">
        <x:v>Electronic Withdrawal Northsideeconomi</x:v>
      </x:c>
      <x:c r="H76" s="2" t="n">
        <x:v>1520</x:v>
      </x:c>
      <x:c r="I76" s="29" t="str">
        <x:v>Old NEON/MIGF 30200 installment; exclude smaller NEON020 withdrawals.</x:v>
      </x:c>
    </x:row>
    <x:row r="77" ht="42" customHeight="1">
      <x:c r="A77" s="10" t="str">
        <x:v>neon</x:v>
      </x:c>
      <x:c r="B77" s="13" t="str">
        <x:v>2970.18</x:v>
      </x:c>
      <x:c r="C77" s="17" t="n">
        <x:v>45839</x:v>
      </x:c>
      <x:c r="D77" s="19" t="n">
        <x:v>2302.93</x:v>
      </x:c>
      <x:c r="E77" s="19" t="n">
        <x:v>2302.93</x:v>
      </x:c>
      <x:c r="F77" s="10" t="str">
        <x:v>included</x:v>
      </x:c>
      <x:c r="G77" s="10" t="str">
        <x:v>Electronic Withdrawal Northsideeconomi</x:v>
      </x:c>
      <x:c r="H77" s="10" t="n">
        <x:v>1685</x:v>
      </x:c>
      <x:c r="I77" s="30" t="str">
        <x:v>Old NEON/MIGF 30200 installment; exclude smaller NEON020 withdrawals.</x:v>
      </x:c>
    </x:row>
    <x:row r="78" ht="42" customHeight="1">
      <x:c r="A78" s="2" t="str">
        <x:v>neon</x:v>
      </x:c>
      <x:c r="B78" s="14" t="str">
        <x:v>2970.18</x:v>
      </x:c>
      <x:c r="C78" s="18" t="n">
        <x:v>45870</x:v>
      </x:c>
      <x:c r="D78" s="22" t="n">
        <x:v>2302.93</x:v>
      </x:c>
      <x:c r="E78" s="22" t="n">
        <x:v>2302.93</x:v>
      </x:c>
      <x:c r="F78" s="2" t="str">
        <x:v>included</x:v>
      </x:c>
      <x:c r="G78" s="2" t="str">
        <x:v>Electronic Withdrawal Northsideeconomi</x:v>
      </x:c>
      <x:c r="H78" s="2" t="n">
        <x:v>1864</x:v>
      </x:c>
      <x:c r="I78" s="29" t="str">
        <x:v>Old NEON/MIGF 30200 installment; exclude smaller NEON020 withdrawals.</x:v>
      </x:c>
    </x:row>
    <x:row r="79" ht="42" customHeight="1">
      <x:c r="A79" s="10" t="str">
        <x:v>neon</x:v>
      </x:c>
      <x:c r="B79" s="13" t="str">
        <x:v>2970.18</x:v>
      </x:c>
      <x:c r="C79" s="17" t="n">
        <x:v>45902</x:v>
      </x:c>
      <x:c r="D79" s="19" t="n">
        <x:v>2302.93</x:v>
      </x:c>
      <x:c r="E79" s="19" t="n">
        <x:v>2302.93</x:v>
      </x:c>
      <x:c r="F79" s="10" t="str">
        <x:v>included</x:v>
      </x:c>
      <x:c r="G79" s="10" t="str">
        <x:v>Electronic Withdrawal Northsideeconomi</x:v>
      </x:c>
      <x:c r="H79" s="10" t="n">
        <x:v>2041</x:v>
      </x:c>
      <x:c r="I79" s="30" t="str">
        <x:v>Old NEON/MIGF 30200 installment; exclude smaller NEON020 withdrawals.</x:v>
      </x:c>
    </x:row>
    <x:row r="80" ht="42" customHeight="1">
      <x:c r="A80" s="2" t="str">
        <x:v>neon</x:v>
      </x:c>
      <x:c r="B80" s="14" t="str">
        <x:v>2970.18</x:v>
      </x:c>
      <x:c r="C80" s="18" t="n">
        <x:v>45932</x:v>
      </x:c>
      <x:c r="D80" s="22" t="n">
        <x:v>2302.93</x:v>
      </x:c>
      <x:c r="E80" s="22" t="n">
        <x:v>2302.93</x:v>
      </x:c>
      <x:c r="F80" s="2" t="str">
        <x:v>included</x:v>
      </x:c>
      <x:c r="G80" s="2" t="str">
        <x:v>Electronic Withdrawal Presta Technolog</x:v>
      </x:c>
      <x:c r="H80" s="2" t="n">
        <x:v>2239</x:v>
      </x:c>
      <x:c r="I80" s="29" t="str">
        <x:v>Old NEON/MIGF 30200 installment; exclude smaller NEON020 withdrawals.</x:v>
      </x:c>
    </x:row>
    <x:row r="81" ht="42" customHeight="1">
      <x:c r="A81" s="10" t="str">
        <x:v>neon</x:v>
      </x:c>
      <x:c r="B81" s="13" t="str">
        <x:v>2970.18</x:v>
      </x:c>
      <x:c r="C81" s="17" t="n">
        <x:v>45965</x:v>
      </x:c>
      <x:c r="D81" s="19" t="n">
        <x:v>2302.93</x:v>
      </x:c>
      <x:c r="E81" s="19" t="n">
        <x:v>2302.93</x:v>
      </x:c>
      <x:c r="F81" s="10" t="str">
        <x:v>included</x:v>
      </x:c>
      <x:c r="G81" s="10" t="str">
        <x:v>Electronic Withdrawal Presta Technolog</x:v>
      </x:c>
      <x:c r="H81" s="10" t="n">
        <x:v>2524</x:v>
      </x:c>
      <x:c r="I81" s="30" t="str">
        <x:v>Old NEON/MIGF 30200 installment; exclude smaller NEON020 withdrawals.</x:v>
      </x:c>
    </x:row>
    <x:row r="82" ht="42" customHeight="1">
      <x:c r="A82" s="2" t="str">
        <x:v>neon</x:v>
      </x:c>
      <x:c r="B82" s="14" t="str">
        <x:v>2970.18</x:v>
      </x:c>
      <x:c r="C82" s="18" t="n">
        <x:v>45993</x:v>
      </x:c>
      <x:c r="D82" s="22" t="n">
        <x:v>2302.93</x:v>
      </x:c>
      <x:c r="E82" s="22" t="n">
        <x:v>2302.93</x:v>
      </x:c>
      <x:c r="F82" s="2" t="str">
        <x:v>included</x:v>
      </x:c>
      <x:c r="G82" s="2" t="str">
        <x:v>Electronic Withdrawal Presta Technolog</x:v>
      </x:c>
      <x:c r="H82" s="2" t="n">
        <x:v>2751</x:v>
      </x:c>
      <x:c r="I82" s="29" t="str">
        <x:v>Old NEON/MIGF 30200 installment; exclude smaller NEON020 withdrawals.</x:v>
      </x:c>
    </x:row>
    <x:row r="83" ht="42" customHeight="1">
      <x:c r="A83" s="10" t="str">
        <x:v>km6136</x:v>
      </x:c>
      <x:c r="B83" s="13" t="str">
        <x:v>2970.20</x:v>
      </x:c>
      <x:c r="C83" s="17" t="n">
        <x:v>45569</x:v>
      </x:c>
      <x:c r="D83" s="19" t="n">
        <x:v>1037</x:v>
      </x:c>
      <x:c r="E83" s="19" t="n">
        <x:v>1037</x:v>
      </x:c>
      <x:c r="F83" s="10" t="str">
        <x:v>included</x:v>
      </x:c>
      <x:c r="G83" s="10" t="str">
        <x:v>8273</x:v>
      </x:c>
      <x:c r="H83" s="10" t="n">
        <x:v>42</x:v>
      </x:c>
      <x:c r="I83" s="30" t="str">
        <x:v>KM6136 installment amount matches loan bill records; IC34 service checks excluded.</x:v>
      </x:c>
    </x:row>
    <x:row r="84" ht="42" customHeight="1">
      <x:c r="A84" s="2" t="str">
        <x:v>km6136</x:v>
      </x:c>
      <x:c r="B84" s="14" t="str">
        <x:v>2970.20</x:v>
      </x:c>
      <x:c r="C84" s="18" t="n">
        <x:v>45597</x:v>
      </x:c>
      <x:c r="D84" s="22" t="n">
        <x:v>1037</x:v>
      </x:c>
      <x:c r="E84" s="22" t="n">
        <x:v>1037</x:v>
      </x:c>
      <x:c r="F84" s="2" t="str">
        <x:v>included</x:v>
      </x:c>
      <x:c r="G84" s="2" t="str">
        <x:v>8313</x:v>
      </x:c>
      <x:c r="H84" s="2" t="n">
        <x:v>240</x:v>
      </x:c>
      <x:c r="I84" s="29" t="str">
        <x:v>KM6136 installment amount matches loan bill records; IC34 service checks excluded.</x:v>
      </x:c>
    </x:row>
    <x:row r="85" ht="42" customHeight="1">
      <x:c r="A85" s="10" t="str">
        <x:v>km6136</x:v>
      </x:c>
      <x:c r="B85" s="13" t="str">
        <x:v>2970.20</x:v>
      </x:c>
      <x:c r="C85" s="17" t="n">
        <x:v>45632</x:v>
      </x:c>
      <x:c r="D85" s="19" t="n">
        <x:v>1037</x:v>
      </x:c>
      <x:c r="E85" s="19" t="n">
        <x:v>1037</x:v>
      </x:c>
      <x:c r="F85" s="10" t="str">
        <x:v>included</x:v>
      </x:c>
      <x:c r="G85" s="10" t="str">
        <x:v>8350</x:v>
      </x:c>
      <x:c r="H85" s="10" t="n">
        <x:v>459</x:v>
      </x:c>
      <x:c r="I85" s="30" t="str">
        <x:v>KM6136 installment amount matches loan bill records; IC34 service checks excluded.</x:v>
      </x:c>
    </x:row>
    <x:row r="86" ht="42" customHeight="1">
      <x:c r="A86" s="2" t="str">
        <x:v>km6136</x:v>
      </x:c>
      <x:c r="B86" s="14" t="str">
        <x:v>2970.20</x:v>
      </x:c>
      <x:c r="C86" s="18" t="n">
        <x:v>45660</x:v>
      </x:c>
      <x:c r="D86" s="22" t="n">
        <x:v>1037</x:v>
      </x:c>
      <x:c r="E86" s="22" t="n">
        <x:v>1037</x:v>
      </x:c>
      <x:c r="F86" s="2" t="str">
        <x:v>included</x:v>
      </x:c>
      <x:c r="G86" s="2" t="str">
        <x:v>8371</x:v>
      </x:c>
      <x:c r="H86" s="2" t="n">
        <x:v>610</x:v>
      </x:c>
      <x:c r="I86" s="29" t="str">
        <x:v>KM6136 installment amount matches loan bill records; IC34 service checks excluded.</x:v>
      </x:c>
    </x:row>
    <x:row r="87" ht="42" customHeight="1">
      <x:c r="A87" s="10" t="str">
        <x:v>km6136</x:v>
      </x:c>
      <x:c r="B87" s="13" t="str">
        <x:v>2970.20</x:v>
      </x:c>
      <x:c r="C87" s="17" t="n">
        <x:v>45688</x:v>
      </x:c>
      <x:c r="D87" s="19" t="n">
        <x:v>1037</x:v>
      </x:c>
      <x:c r="E87" s="19" t="n">
        <x:v>1037</x:v>
      </x:c>
      <x:c r="F87" s="10" t="str">
        <x:v>included</x:v>
      </x:c>
      <x:c r="G87" s="10" t="str">
        <x:v>8396</x:v>
      </x:c>
      <x:c r="H87" s="10" t="n">
        <x:v>758</x:v>
      </x:c>
      <x:c r="I87" s="30" t="str">
        <x:v>KM6136 installment amount matches loan bill records; IC34 service checks excluded.</x:v>
      </x:c>
    </x:row>
    <x:row r="88" ht="42" customHeight="1">
      <x:c r="A88" s="2" t="str">
        <x:v>km6136</x:v>
      </x:c>
      <x:c r="B88" s="14" t="str">
        <x:v>2970.20</x:v>
      </x:c>
      <x:c r="C88" s="18" t="n">
        <x:v>45723</x:v>
      </x:c>
      <x:c r="D88" s="22" t="n">
        <x:v>1037</x:v>
      </x:c>
      <x:c r="E88" s="22" t="n">
        <x:v>1037</x:v>
      </x:c>
      <x:c r="F88" s="2" t="str">
        <x:v>included</x:v>
      </x:c>
      <x:c r="G88" s="2" t="str">
        <x:v>8444</x:v>
      </x:c>
      <x:c r="H88" s="2" t="n">
        <x:v>995</x:v>
      </x:c>
      <x:c r="I88" s="29" t="str">
        <x:v>KM6136 installment amount matches loan bill records; IC34 service checks excluded.</x:v>
      </x:c>
    </x:row>
    <x:row r="89" ht="42" customHeight="1">
      <x:c r="A89" s="10" t="str">
        <x:v>km6136</x:v>
      </x:c>
      <x:c r="B89" s="13" t="str">
        <x:v>2970.20</x:v>
      </x:c>
      <x:c r="C89" s="17" t="n">
        <x:v>45744</x:v>
      </x:c>
      <x:c r="D89" s="19" t="n">
        <x:v>1037</x:v>
      </x:c>
      <x:c r="E89" s="19" t="n">
        <x:v>1037</x:v>
      </x:c>
      <x:c r="F89" s="10" t="str">
        <x:v>included</x:v>
      </x:c>
      <x:c r="G89" s="10" t="str">
        <x:v>8463</x:v>
      </x:c>
      <x:c r="H89" s="10" t="n">
        <x:v>1114</x:v>
      </x:c>
      <x:c r="I89" s="30" t="str">
        <x:v>KM6136 installment amount matches loan bill records; IC34 service checks excluded.</x:v>
      </x:c>
    </x:row>
    <x:row r="90" ht="42" customHeight="1">
      <x:c r="A90" s="2" t="str">
        <x:v>km6136</x:v>
      </x:c>
      <x:c r="B90" s="14" t="str">
        <x:v>2970.20</x:v>
      </x:c>
      <x:c r="C90" s="18" t="n">
        <x:v>45751</x:v>
      </x:c>
      <x:c r="D90" s="22" t="n">
        <x:v>1037</x:v>
      </x:c>
      <x:c r="E90" s="22" t="n">
        <x:v>1037</x:v>
      </x:c>
      <x:c r="F90" s="2" t="str">
        <x:v>included</x:v>
      </x:c>
      <x:c r="G90" s="2" t="str">
        <x:v>8467</x:v>
      </x:c>
      <x:c r="H90" s="2" t="n">
        <x:v>1162</x:v>
      </x:c>
      <x:c r="I90" s="29" t="str">
        <x:v>KM6136 installment amount matches loan bill records; IC34 service checks excluded.</x:v>
      </x:c>
    </x:row>
    <x:row r="91" ht="42" customHeight="1">
      <x:c r="A91" s="10" t="str">
        <x:v>km6136</x:v>
      </x:c>
      <x:c r="B91" s="13" t="str">
        <x:v>2970.20</x:v>
      </x:c>
      <x:c r="C91" s="17" t="n">
        <x:v>45807</x:v>
      </x:c>
      <x:c r="D91" s="19" t="n">
        <x:v>1037</x:v>
      </x:c>
      <x:c r="E91" s="19" t="n">
        <x:v>1037</x:v>
      </x:c>
      <x:c r="F91" s="10" t="str">
        <x:v>included</x:v>
      </x:c>
      <x:c r="G91" s="10" t="str">
        <x:v>8531</x:v>
      </x:c>
      <x:c r="H91" s="10" t="n">
        <x:v>1506</x:v>
      </x:c>
      <x:c r="I91" s="30" t="str">
        <x:v>KM6136 installment amount matches loan bill records; IC34 service checks excluded.</x:v>
      </x:c>
    </x:row>
    <x:row r="92" ht="42" customHeight="1">
      <x:c r="A92" s="2" t="str">
        <x:v>km6136</x:v>
      </x:c>
      <x:c r="B92" s="14" t="str">
        <x:v>2970.20</x:v>
      </x:c>
      <x:c r="C92" s="18" t="n">
        <x:v>45933</x:v>
      </x:c>
      <x:c r="D92" s="22" t="n">
        <x:v>3795.6</x:v>
      </x:c>
      <x:c r="E92" s="22" t="n">
        <x:v>0</x:v>
      </x:c>
      <x:c r="F92" s="2" t="str">
        <x:v>shared unallocated</x:v>
      </x:c>
      <x:c r="G92" s="2" t="str">
        <x:v>Electronic Withdrawal Loffler Companie</x:v>
      </x:c>
      <x:c r="H92" s="2" t="n">
        <x:v>2275</x:v>
      </x:c>
      <x:c r="I92" s="29" t="str">
        <x:v>One Loffler cash payment, shared reference shown under both Loffler schedules. Loan/service allocation unresolved; excluded from both and from NEON. This is not two payments.</x:v>
      </x:c>
    </x:row>
    <x:row r="93" ht="42" customHeight="1">
      <x:c r="A93" s="10" t="str">
        <x:v>seal65</x:v>
      </x:c>
      <x:c r="B93" s="13" t="str">
        <x:v>2970.19</x:v>
      </x:c>
      <x:c r="C93" s="17" t="n">
        <x:v>45576</x:v>
      </x:c>
      <x:c r="D93" s="19" t="n">
        <x:v>470.42</x:v>
      </x:c>
      <x:c r="E93" s="19" t="n">
        <x:v>470.42</x:v>
      </x:c>
      <x:c r="F93" s="10" t="str">
        <x:v>included</x:v>
      </x:c>
      <x:c r="G93" s="10" t="str">
        <x:v>8281</x:v>
      </x:c>
      <x:c r="H93" s="10" t="n">
        <x:v>96</x:v>
      </x:c>
      <x:c r="I93" s="30" t="str">
        <x:v>SEAL 65 installment amount matches loan bill records; IC34 service checks excluded.</x:v>
      </x:c>
    </x:row>
    <x:row r="94" ht="42" customHeight="1">
      <x:c r="A94" s="2" t="str">
        <x:v>seal65</x:v>
      </x:c>
      <x:c r="B94" s="14" t="str">
        <x:v>2970.19</x:v>
      </x:c>
      <x:c r="C94" s="18" t="n">
        <x:v>45611</x:v>
      </x:c>
      <x:c r="D94" s="22" t="n">
        <x:v>470.42</x:v>
      </x:c>
      <x:c r="E94" s="22" t="n">
        <x:v>470.42</x:v>
      </x:c>
      <x:c r="F94" s="2" t="str">
        <x:v>included</x:v>
      </x:c>
      <x:c r="G94" s="2" t="str">
        <x:v>8331</x:v>
      </x:c>
      <x:c r="H94" s="2" t="n">
        <x:v>333</x:v>
      </x:c>
      <x:c r="I94" s="29" t="str">
        <x:v>SEAL 65 installment amount matches loan bill records; IC34 service checks excluded.</x:v>
      </x:c>
    </x:row>
    <x:row r="95" ht="42" customHeight="1">
      <x:c r="A95" s="10" t="str">
        <x:v>seal65</x:v>
      </x:c>
      <x:c r="B95" s="13" t="str">
        <x:v>2970.19</x:v>
      </x:c>
      <x:c r="C95" s="17" t="n">
        <x:v>45646</x:v>
      </x:c>
      <x:c r="D95" s="19" t="n">
        <x:v>470.42</x:v>
      </x:c>
      <x:c r="E95" s="19" t="n">
        <x:v>470.42</x:v>
      </x:c>
      <x:c r="F95" s="10" t="str">
        <x:v>included</x:v>
      </x:c>
      <x:c r="G95" s="10" t="str">
        <x:v>8365</x:v>
      </x:c>
      <x:c r="H95" s="10" t="n">
        <x:v>551</x:v>
      </x:c>
      <x:c r="I95" s="30" t="str">
        <x:v>SEAL 65 installment amount matches loan bill records; IC34 service checks excluded.</x:v>
      </x:c>
    </x:row>
    <x:row r="96" ht="42" customHeight="1">
      <x:c r="A96" s="2" t="str">
        <x:v>seal65</x:v>
      </x:c>
      <x:c r="B96" s="14" t="str">
        <x:v>2970.19</x:v>
      </x:c>
      <x:c r="C96" s="18" t="n">
        <x:v>45674</x:v>
      </x:c>
      <x:c r="D96" s="22" t="n">
        <x:v>470.42</x:v>
      </x:c>
      <x:c r="E96" s="22" t="n">
        <x:v>470.42</x:v>
      </x:c>
      <x:c r="F96" s="2" t="str">
        <x:v>included</x:v>
      </x:c>
      <x:c r="G96" s="2" t="str">
        <x:v>8388</x:v>
      </x:c>
      <x:c r="H96" s="2" t="n">
        <x:v>692</x:v>
      </x:c>
      <x:c r="I96" s="29" t="str">
        <x:v>SEAL 65 installment amount matches loan bill records; IC34 service checks excluded.</x:v>
      </x:c>
    </x:row>
    <x:row r="97" ht="42" customHeight="1">
      <x:c r="A97" s="10" t="str">
        <x:v>seal65</x:v>
      </x:c>
      <x:c r="B97" s="13" t="str">
        <x:v>2970.19</x:v>
      </x:c>
      <x:c r="C97" s="17" t="n">
        <x:v>45702</x:v>
      </x:c>
      <x:c r="D97" s="19" t="n">
        <x:v>470.42</x:v>
      </x:c>
      <x:c r="E97" s="19" t="n">
        <x:v>470.42</x:v>
      </x:c>
      <x:c r="F97" s="10" t="str">
        <x:v>included</x:v>
      </x:c>
      <x:c r="G97" s="10" t="str">
        <x:v>8416</x:v>
      </x:c>
      <x:c r="H97" s="10" t="n">
        <x:v>846</x:v>
      </x:c>
      <x:c r="I97" s="30" t="str">
        <x:v>SEAL 65 installment amount matches loan bill records; IC34 service checks excluded.</x:v>
      </x:c>
    </x:row>
    <x:row r="98" ht="42" customHeight="1">
      <x:c r="A98" s="2" t="str">
        <x:v>seal65</x:v>
      </x:c>
      <x:c r="B98" s="14" t="str">
        <x:v>2970.19</x:v>
      </x:c>
      <x:c r="C98" s="18" t="n">
        <x:v>45730</x:v>
      </x:c>
      <x:c r="D98" s="22" t="n">
        <x:v>470.42</x:v>
      </x:c>
      <x:c r="E98" s="22" t="n">
        <x:v>470.42</x:v>
      </x:c>
      <x:c r="F98" s="2" t="str">
        <x:v>included</x:v>
      </x:c>
      <x:c r="G98" s="2" t="str">
        <x:v>8450</x:v>
      </x:c>
      <x:c r="H98" s="2" t="n">
        <x:v>1037</x:v>
      </x:c>
      <x:c r="I98" s="29" t="str">
        <x:v>SEAL 65 installment amount matches loan bill records; IC34 service checks excluded.</x:v>
      </x:c>
    </x:row>
    <x:row r="99" ht="42" customHeight="1">
      <x:c r="A99" s="10" t="str">
        <x:v>seal65</x:v>
      </x:c>
      <x:c r="B99" s="13" t="str">
        <x:v>2970.19</x:v>
      </x:c>
      <x:c r="C99" s="17" t="n">
        <x:v>45765</x:v>
      </x:c>
      <x:c r="D99" s="19" t="n">
        <x:v>470.42</x:v>
      </x:c>
      <x:c r="E99" s="19" t="n">
        <x:v>470.42</x:v>
      </x:c>
      <x:c r="F99" s="10" t="str">
        <x:v>included</x:v>
      </x:c>
      <x:c r="G99" s="10" t="str">
        <x:v>8485</x:v>
      </x:c>
      <x:c r="H99" s="10" t="n">
        <x:v>1251</x:v>
      </x:c>
      <x:c r="I99" s="30" t="str">
        <x:v>SEAL 65 installment amount matches loan bill records; IC34 service checks excluded.</x:v>
      </x:c>
    </x:row>
    <x:row r="100" ht="42" customHeight="1">
      <x:c r="A100" s="2" t="str">
        <x:v>seal65</x:v>
      </x:c>
      <x:c r="B100" s="14" t="str">
        <x:v>2970.19</x:v>
      </x:c>
      <x:c r="C100" s="18" t="n">
        <x:v>45793</x:v>
      </x:c>
      <x:c r="D100" s="22" t="n">
        <x:v>470.42</x:v>
      </x:c>
      <x:c r="E100" s="22" t="n">
        <x:v>470.42</x:v>
      </x:c>
      <x:c r="F100" s="2" t="str">
        <x:v>included</x:v>
      </x:c>
      <x:c r="G100" s="2" t="str">
        <x:v>8516</x:v>
      </x:c>
      <x:c r="H100" s="2" t="n">
        <x:v>1417</x:v>
      </x:c>
      <x:c r="I100" s="29" t="str">
        <x:v>SEAL 65 installment amount matches loan bill records; IC34 service checks excluded.</x:v>
      </x:c>
    </x:row>
    <x:row r="101" ht="42" customHeight="1">
      <x:c r="A101" s="10" t="str">
        <x:v>seal65</x:v>
      </x:c>
      <x:c r="B101" s="13" t="str">
        <x:v>2970.19</x:v>
      </x:c>
      <x:c r="C101" s="17" t="n">
        <x:v>45933</x:v>
      </x:c>
      <x:c r="D101" s="19" t="n">
        <x:v>3795.6</x:v>
      </x:c>
      <x:c r="E101" s="19" t="n">
        <x:v>0</x:v>
      </x:c>
      <x:c r="F101" s="10" t="str">
        <x:v>shared unallocated</x:v>
      </x:c>
      <x:c r="G101" s="10" t="str">
        <x:v>Electronic Withdrawal Loffler Companie</x:v>
      </x:c>
      <x:c r="H101" s="10" t="n">
        <x:v>2275</x:v>
      </x:c>
      <x:c r="I101" s="30" t="str">
        <x:v>One Loffler cash payment, shared reference shown under both Loffler schedules. Loan/service allocation unresolved; excluded from both and from NEON. This is not two payments.</x:v>
      </x:c>
    </x:row>
    <x:row r="102" ht="42" customHeight="1">
      <x:c r="A102" s="2" t="str">
        <x:v>brown1</x:v>
      </x:c>
      <x:c r="B102" s="14" t="str">
        <x:v>2970.10</x:v>
      </x:c>
      <x:c r="C102" s="18" t="n">
        <x:v>45910</x:v>
      </x:c>
      <x:c r="D102" s="22" t="n">
        <x:v>3000</x:v>
      </x:c>
      <x:c r="E102" s="22" t="n">
        <x:v>0</x:v>
      </x:c>
      <x:c r="F102" s="2" t="str">
        <x:v>held</x:v>
      </x:c>
      <x:c r="G102" s="2" t="str">
        <x:v>6237</x:v>
      </x:c>
      <x:c r="H102" s="2" t="n">
        <x:v>2087</x:v>
      </x:c>
      <x:c r="I102" s="29" t="str">
        <x:v>Recorded in Brown #1 but description/source refers to separate 12K loan or Micro Center. Allocation to this amortizing loan is unresolved; held from model.</x:v>
      </x:c>
    </x:row>
    <x:row r="103" ht="42" customHeight="1">
      <x:c r="A103" s="10" t="str">
        <x:v>brown1</x:v>
      </x:c>
      <x:c r="B103" s="13" t="str">
        <x:v>2970.10</x:v>
      </x:c>
      <x:c r="C103" s="17" t="n">
        <x:v>45910</x:v>
      </x:c>
      <x:c r="D103" s="19" t="n">
        <x:v>4000</x:v>
      </x:c>
      <x:c r="E103" s="19" t="n">
        <x:v>4000</x:v>
      </x:c>
      <x:c r="F103" s="10" t="str">
        <x:v>included</x:v>
      </x:c>
      <x:c r="G103" s="10" t="str">
        <x:v>6238</x:v>
      </x:c>
      <x:c r="H103" s="10" t="n">
        <x:v>2088</x:v>
      </x:c>
      <x:c r="I103" s="30" t="str">
        <x:v>QBO check description Loan Payment; mapped as recorded to Brown #1.</x:v>
      </x:c>
    </x:row>
    <x:row r="104" ht="42" customHeight="1">
      <x:c r="A104" s="2" t="str">
        <x:v>brown1</x:v>
      </x:c>
      <x:c r="B104" s="14" t="str">
        <x:v>2970.10</x:v>
      </x:c>
      <x:c r="C104" s="18" t="n">
        <x:v>45930</x:v>
      </x:c>
      <x:c r="D104" s="22" t="n">
        <x:v>4000</x:v>
      </x:c>
      <x:c r="E104" s="22" t="n">
        <x:v>4000</x:v>
      </x:c>
      <x:c r="F104" s="2" t="str">
        <x:v>included</x:v>
      </x:c>
      <x:c r="G104" s="2" t="str">
        <x:v>6240</x:v>
      </x:c>
      <x:c r="H104" s="2" t="n">
        <x:v>2220</x:v>
      </x:c>
      <x:c r="I104" s="29" t="str">
        <x:v>QBO check description Loan Payment; mapped as recorded to Brown #1.</x:v>
      </x:c>
    </x:row>
    <x:row r="105" ht="42" customHeight="1">
      <x:c r="A105" s="10" t="str">
        <x:v>brown1</x:v>
      </x:c>
      <x:c r="B105" s="13" t="str">
        <x:v>2970.10</x:v>
      </x:c>
      <x:c r="C105" s="17" t="n">
        <x:v>45933</x:v>
      </x:c>
      <x:c r="D105" s="19" t="n">
        <x:v>1000</x:v>
      </x:c>
      <x:c r="E105" s="19" t="n">
        <x:v>0</x:v>
      </x:c>
      <x:c r="F105" s="10" t="str">
        <x:v>held</x:v>
      </x:c>
      <x:c r="G105" s="10" t="str">
        <x:v>8631</x:v>
      </x:c>
      <x:c r="H105" s="10" t="n">
        <x:v>2263</x:v>
      </x:c>
      <x:c r="I105" s="30" t="str">
        <x:v>Recorded in Brown #1 but description/source refers to separate 12K loan or Micro Center. Allocation to this amortizing loan is unresolved; held from model.</x:v>
      </x:c>
    </x:row>
    <x:row r="106" ht="42" customHeight="1">
      <x:c r="A106" s="2" t="str">
        <x:v>brown1</x:v>
      </x:c>
      <x:c r="B106" s="14" t="str">
        <x:v>2970.10</x:v>
      </x:c>
      <x:c r="C106" s="18" t="n">
        <x:v>45944</x:v>
      </x:c>
      <x:c r="D106" s="22" t="n">
        <x:v>4000</x:v>
      </x:c>
      <x:c r="E106" s="22" t="n">
        <x:v>4000</x:v>
      </x:c>
      <x:c r="F106" s="2" t="str">
        <x:v>included</x:v>
      </x:c>
      <x:c r="G106" s="2" t="str">
        <x:v>Check #6242</x:v>
      </x:c>
      <x:c r="H106" s="2" t="n">
        <x:v>2333</x:v>
      </x:c>
      <x:c r="I106" s="29" t="str">
        <x:v>Check 6242: Kari confirmed larger Brown loan; saved correction 39906, 10/14/2025, Dr2970.10/Cr6295 4,000. Original cash counted once.</x:v>
      </x:c>
    </x:row>
    <x:row r="107" ht="42" customHeight="1">
      <x:c r="A107" s="10" t="str">
        <x:v>brown1</x:v>
      </x:c>
      <x:c r="B107" s="13" t="str">
        <x:v>2970.10</x:v>
      </x:c>
      <x:c r="C107" s="17" t="n">
        <x:v>45958</x:v>
      </x:c>
      <x:c r="D107" s="19" t="n">
        <x:v>1223.92</x:v>
      </x:c>
      <x:c r="E107" s="19" t="n">
        <x:v>0</x:v>
      </x:c>
      <x:c r="F107" s="10" t="str">
        <x:v>held</x:v>
      </x:c>
      <x:c r="G107" s="10" t="str">
        <x:v>Check #6243</x:v>
      </x:c>
      <x:c r="H107" s="10" t="n">
        <x:v>2455</x:v>
      </x:c>
      <x:c r="I107" s="30" t="str">
        <x:v>Recorded in Brown #1 but description/source refers to separate 12K loan or Micro Center. Allocation to this amortizing loan is unresolved; held from model.</x:v>
      </x:c>
    </x:row>
    <x:row r="108" ht="42" customHeight="1">
      <x:c r="A108" s="2" t="str">
        <x:v>brown2</x:v>
      </x:c>
      <x:c r="B108" s="14" t="str">
        <x:v>2970.11</x:v>
      </x:c>
      <x:c r="C108" s="18" t="n">
        <x:v>45985</x:v>
      </x:c>
      <x:c r="D108" s="22" t="n">
        <x:v>4000</x:v>
      </x:c>
      <x:c r="E108" s="22" t="n">
        <x:v>4000</x:v>
      </x:c>
      <x:c r="F108" s="2" t="str">
        <x:v>book allocation</x:v>
      </x:c>
      <x:c r="G108" s="2" t="str">
        <x:v>6251</x:v>
      </x:c>
      <x:c r="H108" s="2" t="n">
        <x:v>2684</x:v>
      </x:c>
      <x:c r="I108" s="29" t="str">
        <x:v>Mapped to Brown #2 as currently recorded. Kari says only one Brown loan remains; account identity is still a support exception, not permission to merge.</x:v>
      </x:c>
    </x:row>
    <x:row r="109" ht="42" customHeight="1">
      <x:c r="A109" s="10" t="str">
        <x:v>brown2</x:v>
      </x:c>
      <x:c r="B109" s="13" t="str">
        <x:v>2970.11</x:v>
      </x:c>
      <x:c r="C109" s="17" t="n">
        <x:v>46003</x:v>
      </x:c>
      <x:c r="D109" s="19" t="n">
        <x:v>4000</x:v>
      </x:c>
      <x:c r="E109" s="19" t="n">
        <x:v>4000</x:v>
      </x:c>
      <x:c r="F109" s="10" t="str">
        <x:v>book allocation</x:v>
      </x:c>
      <x:c r="G109" s="10" t="str">
        <x:v>6254</x:v>
      </x:c>
      <x:c r="H109" s="10" t="n">
        <x:v>2839</x:v>
      </x:c>
      <x:c r="I109" s="30" t="str">
        <x:v>Mapped to Brown #2 as currently recorded. Kari says only one Brown loan remains; account identity is still a support exception, not permission to merge.</x:v>
      </x:c>
    </x:row>
    <x:row r="110" ht="42" customHeight="1">
      <x:c r="A110" s="2" t="str">
        <x:v>ais</x:v>
      </x:c>
      <x:c r="B110" s="14" t="str">
        <x:v>2970.13</x:v>
      </x:c>
      <x:c r="C110" s="18" t="n">
        <x:v>45583</x:v>
      </x:c>
      <x:c r="D110" s="22" t="n">
        <x:v>4798</x:v>
      </x:c>
      <x:c r="E110" s="22" t="n">
        <x:v>1760</x:v>
      </x:c>
      <x:c r="F110" s="2" t="str">
        <x:v>bill-supported split</x:v>
      </x:c>
      <x:c r="G110" s="2" t="str">
        <x:v>8295</x:v>
      </x:c>
      <x:c r="H110" s="2" t="n">
        <x:v>145</x:v>
      </x:c>
      <x:c r="I110" s="29" t="str">
        <x:v>4,798 payment matched to standard contract bill composition: loan installment 1,760 (principal + interest), equipment leasing 3,038 excluded. Per-payment invoice application not independently reverified.</x:v>
      </x:c>
    </x:row>
    <x:row r="111" ht="42" customHeight="1">
      <x:c r="A111" s="10" t="str">
        <x:v>ais</x:v>
      </x:c>
      <x:c r="B111" s="13" t="str">
        <x:v>2970.13</x:v>
      </x:c>
      <x:c r="C111" s="17" t="n">
        <x:v>45646</x:v>
      </x:c>
      <x:c r="D111" s="19" t="n">
        <x:v>4798</x:v>
      </x:c>
      <x:c r="E111" s="19" t="n">
        <x:v>1760</x:v>
      </x:c>
      <x:c r="F111" s="10" t="str">
        <x:v>bill-supported split</x:v>
      </x:c>
      <x:c r="G111" s="10" t="str">
        <x:v>8362</x:v>
      </x:c>
      <x:c r="H111" s="10" t="n">
        <x:v>548</x:v>
      </x:c>
      <x:c r="I111" s="30" t="str">
        <x:v>4,798 payment matched to standard contract bill composition: loan installment 1,760 (principal + interest), equipment leasing 3,038 excluded. Per-payment invoice application not independently reverified.</x:v>
      </x:c>
    </x:row>
    <x:row r="112" ht="42" customHeight="1">
      <x:c r="A112" s="2" t="str">
        <x:v>ais</x:v>
      </x:c>
      <x:c r="B112" s="14" t="str">
        <x:v>2970.13</x:v>
      </x:c>
      <x:c r="C112" s="18" t="n">
        <x:v>45649</x:v>
      </x:c>
      <x:c r="D112" s="22" t="n">
        <x:v>4798</x:v>
      </x:c>
      <x:c r="E112" s="22" t="n">
        <x:v>1760</x:v>
      </x:c>
      <x:c r="F112" s="2" t="str">
        <x:v>bill-supported split</x:v>
      </x:c>
      <x:c r="G112" s="2" t="str">
        <x:v>8367</x:v>
      </x:c>
      <x:c r="H112" s="2" t="n">
        <x:v>561</x:v>
      </x:c>
      <x:c r="I112" s="29" t="str">
        <x:v>4,798 payment matched to standard contract bill composition: loan installment 1,760 (principal + interest), equipment leasing 3,038 excluded. Per-payment invoice application not independently reverified.</x:v>
      </x:c>
    </x:row>
    <x:row r="113" ht="42" customHeight="1">
      <x:c r="A113" s="10" t="str">
        <x:v>ais</x:v>
      </x:c>
      <x:c r="B113" s="13" t="str">
        <x:v>2970.13</x:v>
      </x:c>
      <x:c r="C113" s="17" t="n">
        <x:v>45666</x:v>
      </x:c>
      <x:c r="D113" s="19" t="n">
        <x:v>4798</x:v>
      </x:c>
      <x:c r="E113" s="19" t="n">
        <x:v>1760</x:v>
      </x:c>
      <x:c r="F113" s="10" t="str">
        <x:v>bill-supported split</x:v>
      </x:c>
      <x:c r="G113" s="10" t="str">
        <x:v>8378</x:v>
      </x:c>
      <x:c r="H113" s="10" t="n">
        <x:v>638</x:v>
      </x:c>
      <x:c r="I113" s="30" t="str">
        <x:v>4,798 payment matched to standard contract bill composition: loan installment 1,760 (principal + interest), equipment leasing 3,038 excluded. Per-payment invoice application not independently reverified.</x:v>
      </x:c>
    </x:row>
    <x:row r="114" ht="42" customHeight="1">
      <x:c r="A114" s="2" t="str">
        <x:v>ais</x:v>
      </x:c>
      <x:c r="B114" s="14" t="str">
        <x:v>2970.13</x:v>
      </x:c>
      <x:c r="C114" s="18" t="n">
        <x:v>45702</x:v>
      </x:c>
      <x:c r="D114" s="22" t="n">
        <x:v>4798</x:v>
      </x:c>
      <x:c r="E114" s="22" t="n">
        <x:v>1760</x:v>
      </x:c>
      <x:c r="F114" s="2" t="str">
        <x:v>bill-supported split</x:v>
      </x:c>
      <x:c r="G114" s="2" t="str">
        <x:v>8422</x:v>
      </x:c>
      <x:c r="H114" s="2" t="n">
        <x:v>852</x:v>
      </x:c>
      <x:c r="I114" s="29" t="str">
        <x:v>4,798 payment matched to standard contract bill composition: loan installment 1,760 (principal + interest), equipment leasing 3,038 excluded. Per-payment invoice application not independently reverified.</x:v>
      </x:c>
    </x:row>
    <x:row r="115" ht="42" customHeight="1">
      <x:c r="A115" s="10" t="str">
        <x:v>ais</x:v>
      </x:c>
      <x:c r="B115" s="13" t="str">
        <x:v>2970.13</x:v>
      </x:c>
      <x:c r="C115" s="17" t="n">
        <x:v>45719</x:v>
      </x:c>
      <x:c r="D115" s="19" t="n">
        <x:v>7132.65</x:v>
      </x:c>
      <x:c r="E115" s="19" t="n">
        <x:v>0</x:v>
      </x:c>
      <x:c r="F115" s="10" t="str">
        <x:v>excluded service</x:v>
      </x:c>
      <x:c r="G115" s="10" t="str">
        <x:v>Bill Payment (Credit Card)</x:v>
      </x:c>
      <x:c r="H115" s="10" t="n">
        <x:v>6998</x:v>
      </x:c>
      <x:c r="I115" s="30" t="str">
        <x:v>Payment matches click/service/staples or separately expensed lease invoice; excluded from AIS loan schedule.</x:v>
      </x:c>
    </x:row>
    <x:row r="116" ht="42" customHeight="1">
      <x:c r="A116" s="2" t="str">
        <x:v>ais</x:v>
      </x:c>
      <x:c r="B116" s="14" t="str">
        <x:v>2970.13</x:v>
      </x:c>
      <x:c r="C116" s="18" t="n">
        <x:v>45810</x:v>
      </x:c>
      <x:c r="D116" s="22" t="n">
        <x:v>2926.01</x:v>
      </x:c>
      <x:c r="E116" s="22" t="n">
        <x:v>0</x:v>
      </x:c>
      <x:c r="F116" s="2" t="str">
        <x:v>excluded service</x:v>
      </x:c>
      <x:c r="G116" s="2" t="str">
        <x:v>Bill Payment (Credit Card)</x:v>
      </x:c>
      <x:c r="H116" s="2" t="n">
        <x:v>7234</x:v>
      </x:c>
      <x:c r="I116" s="29" t="str">
        <x:v>Payment matches click/service/staples or separately expensed lease invoice; excluded from AIS loan schedule.</x:v>
      </x:c>
    </x:row>
    <x:row r="117" ht="42" customHeight="1">
      <x:c r="A117" s="10" t="str">
        <x:v>ais</x:v>
      </x:c>
      <x:c r="B117" s="13" t="str">
        <x:v>2970.13</x:v>
      </x:c>
      <x:c r="C117" s="17" t="n">
        <x:v>45845</x:v>
      </x:c>
      <x:c r="D117" s="19" t="n">
        <x:v>246</x:v>
      </x:c>
      <x:c r="E117" s="19" t="n">
        <x:v>0</x:v>
      </x:c>
      <x:c r="F117" s="10" t="str">
        <x:v>excluded service</x:v>
      </x:c>
      <x:c r="G117" s="10" t="str">
        <x:v>8561</x:v>
      </x:c>
      <x:c r="H117" s="10" t="n">
        <x:v>1726</x:v>
      </x:c>
      <x:c r="I117" s="30" t="str">
        <x:v>Payment matches click/service/staples or separately expensed lease invoice; excluded from AIS loan schedule.</x:v>
      </x:c>
    </x:row>
    <x:row r="118" ht="42" customHeight="1">
      <x:c r="A118" s="2" t="str">
        <x:v>ais</x:v>
      </x:c>
      <x:c r="B118" s="14" t="str">
        <x:v>2970.13</x:v>
      </x:c>
      <x:c r="C118" s="18" t="n">
        <x:v>45845</x:v>
      </x:c>
      <x:c r="D118" s="22" t="n">
        <x:v>4798</x:v>
      </x:c>
      <x:c r="E118" s="22" t="n">
        <x:v>1760</x:v>
      </x:c>
      <x:c r="F118" s="2" t="str">
        <x:v>bill-supported split</x:v>
      </x:c>
      <x:c r="G118" s="2" t="str">
        <x:v>8565</x:v>
      </x:c>
      <x:c r="H118" s="2" t="n">
        <x:v>1728</x:v>
      </x:c>
      <x:c r="I118" s="29" t="str">
        <x:v>4,798 payment matched to standard contract bill composition: loan installment 1,760 (principal + interest), equipment leasing 3,038 excluded. Per-payment invoice application not independently reverified.</x:v>
      </x:c>
    </x:row>
    <x:row r="119" ht="42" customHeight="1">
      <x:c r="A119" s="10" t="str">
        <x:v>ais</x:v>
      </x:c>
      <x:c r="B119" s="13" t="str">
        <x:v>2970.13</x:v>
      </x:c>
      <x:c r="C119" s="17" t="n">
        <x:v>45925</x:v>
      </x:c>
      <x:c r="D119" s="19" t="n">
        <x:v>4706.04</x:v>
      </x:c>
      <x:c r="E119" s="19" t="n">
        <x:v>0</x:v>
      </x:c>
      <x:c r="F119" s="10" t="str">
        <x:v>excluded service</x:v>
      </x:c>
      <x:c r="G119" s="10" t="str">
        <x:v>8596</x:v>
      </x:c>
      <x:c r="H119" s="10" t="n">
        <x:v>2186</x:v>
      </x:c>
      <x:c r="I119" s="30" t="str">
        <x:v>Payment matches click/service/staples or separately expensed lease invoice; excluded from AIS loan schedule.</x:v>
      </x:c>
    </x:row>
    <x:row r="120" ht="42" customHeight="1">
      <x:c r="A120" s="2" t="str">
        <x:v>n20a</x:v>
      </x:c>
      <x:c r="B120" s="14" t="str">
        <x:v>2970.22</x:v>
      </x:c>
      <x:c r="C120" s="18" t="n">
        <x:v>45965</x:v>
      </x:c>
      <x:c r="D120" s="22" t="n">
        <x:v>458.33</x:v>
      </x:c>
      <x:c r="E120" s="22" t="n">
        <x:v>458.33</x:v>
      </x:c>
      <x:c r="F120" s="2" t="str">
        <x:v>included</x:v>
      </x:c>
      <x:c r="G120" s="2" t="str">
        <x:v>Electronic Withdrawal Presta Technolog</x:v>
      </x:c>
      <x:c r="H120" s="2" t="n">
        <x:v>2525</x:v>
      </x:c>
      <x:c r="I120" s="29" t="str">
        <x:v>NEON020 installment. A/B payments have identical amounts on the same dates; allocated one to each tranche without claiming distinct bank references.</x:v>
      </x:c>
    </x:row>
    <x:row r="121" ht="42" customHeight="1">
      <x:c r="A121" s="10" t="str">
        <x:v>n20a</x:v>
      </x:c>
      <x:c r="B121" s="13" t="str">
        <x:v>2970.22</x:v>
      </x:c>
      <x:c r="C121" s="17" t="n">
        <x:v>45993</x:v>
      </x:c>
      <x:c r="D121" s="19" t="n">
        <x:v>312.5</x:v>
      </x:c>
      <x:c r="E121" s="19" t="n">
        <x:v>312.5</x:v>
      </x:c>
      <x:c r="F121" s="10" t="str">
        <x:v>included</x:v>
      </x:c>
      <x:c r="G121" s="10" t="str">
        <x:v>Electronic Withdrawal Presta Technolog</x:v>
      </x:c>
      <x:c r="H121" s="10" t="n">
        <x:v>2749</x:v>
      </x:c>
      <x:c r="I121" s="30" t="str">
        <x:v>NEON020 installment. A/B payments have identical amounts on the same dates; allocated one to each tranche without claiming distinct bank references.</x:v>
      </x:c>
    </x:row>
    <x:row r="122" ht="42" customHeight="1">
      <x:c r="A122" s="2" t="str">
        <x:v>n20b</x:v>
      </x:c>
      <x:c r="B122" s="14" t="str">
        <x:v>2970.22</x:v>
      </x:c>
      <x:c r="C122" s="18" t="n">
        <x:v>45965</x:v>
      </x:c>
      <x:c r="D122" s="22" t="n">
        <x:v>458.33</x:v>
      </x:c>
      <x:c r="E122" s="22" t="n">
        <x:v>458.33</x:v>
      </x:c>
      <x:c r="F122" s="2" t="str">
        <x:v>included</x:v>
      </x:c>
      <x:c r="G122" s="2" t="str">
        <x:v>Electronic Withdrawal Presta Technolog</x:v>
      </x:c>
      <x:c r="H122" s="2" t="n">
        <x:v>2527</x:v>
      </x:c>
      <x:c r="I122" s="29" t="str">
        <x:v>NEON020 installment. A/B payments have identical amounts on the same dates; allocated one to each tranche without claiming distinct bank references.</x:v>
      </x:c>
    </x:row>
    <x:row r="123" ht="42" customHeight="1">
      <x:c r="A123" s="10" t="str">
        <x:v>n20b</x:v>
      </x:c>
      <x:c r="B123" s="13" t="str">
        <x:v>2970.22</x:v>
      </x:c>
      <x:c r="C123" s="17" t="n">
        <x:v>45993</x:v>
      </x:c>
      <x:c r="D123" s="19" t="n">
        <x:v>312.5</x:v>
      </x:c>
      <x:c r="E123" s="19" t="n">
        <x:v>312.5</x:v>
      </x:c>
      <x:c r="F123" s="10" t="str">
        <x:v>included</x:v>
      </x:c>
      <x:c r="G123" s="10" t="str">
        <x:v>Electronic Withdrawal Presta Technolog</x:v>
      </x:c>
      <x:c r="H123" s="10" t="n">
        <x:v>2752</x:v>
      </x:c>
      <x:c r="I123" s="30" t="str">
        <x:v>NEON020 installment. A/B payments have identical amounts on the same dates; allocated one to each tranche without claiming distinct bank references.</x:v>
      </x:c>
    </x:row>
    <x:row r="124" ht="42" customHeight="1">
      <x:c r="A124" s="2" t="str">
        <x:v>n20d</x:v>
      </x:c>
      <x:c r="B124" s="14" t="str">
        <x:v>2970.22</x:v>
      </x:c>
      <x:c r="C124" s="18" t="n">
        <x:v>45965</x:v>
      </x:c>
      <x:c r="D124" s="22" t="n">
        <x:v>30.56</x:v>
      </x:c>
      <x:c r="E124" s="22" t="n">
        <x:v>30.56</x:v>
      </x:c>
      <x:c r="F124" s="2" t="str">
        <x:v>included</x:v>
      </x:c>
      <x:c r="G124" s="2" t="str">
        <x:v>Electronic Withdrawal Presta Technolog</x:v>
      </x:c>
      <x:c r="H124" s="2" t="n">
        <x:v>2526</x:v>
      </x:c>
      <x:c r="I124" s="29" t="str">
        <x:v>NEON020-D smaller payment; distinct amount.</x:v>
      </x:c>
    </x:row>
    <x:row r="125" ht="42" customHeight="1">
      <x:c r="A125" s="10" t="str">
        <x:v>n20d</x:v>
      </x:c>
      <x:c r="B125" s="13" t="str">
        <x:v>2970.22</x:v>
      </x:c>
      <x:c r="C125" s="17" t="n">
        <x:v>45993</x:v>
      </x:c>
      <x:c r="D125" s="19" t="n">
        <x:v>20.83</x:v>
      </x:c>
      <x:c r="E125" s="19" t="n">
        <x:v>20.83</x:v>
      </x:c>
      <x:c r="F125" s="10" t="str">
        <x:v>included</x:v>
      </x:c>
      <x:c r="G125" s="10" t="str">
        <x:v>Electronic Withdrawal Presta Technolog</x:v>
      </x:c>
      <x:c r="H125" s="10" t="n">
        <x:v>2750</x:v>
      </x:c>
      <x:c r="I125" s="30" t="str">
        <x:v>NEON020-D smaller payment; distinct amount.</x:v>
      </x:c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  <x:c r="I126" s="2"/>
    </x:row>
    <x:row r="127" ht="22" customHeight="1">
      <x:c r="A127" s="2"/>
      <x:c r="B127" s="2"/>
      <x:c r="C127" s="2"/>
      <x:c r="D127" s="2" t="str">
        <x:v>Allocated total</x:v>
      </x:c>
      <x:c r="E127" s="23" t="n">
        <x:f>SUM(E9:E125)</x:f>
        <x:v>285421.9099999999</x:v>
      </x:c>
      <x:c r="F127" s="2"/>
      <x:c r="G127" s="2"/>
      <x:c r="H127" s="2"/>
      <x:c r="I127" s="2"/>
    </x:row>
  </x:sheetData>
  <x:pageMargins left="0.7" right="0.7" top="0.75" bottom="0.75" header="0.3" footer="0.3"/>
</x:worksheet>
</file>